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e6f74ddfa54c9c" /></Relationships>
</file>

<file path=xl/workbook.xml><?xml version="1.0" encoding="utf-8"?>
<x:workbook xmlns:x="http://schemas.openxmlformats.org/spreadsheetml/2006/main">
  <x:sheets>
    <x:sheet xmlns:r="http://schemas.openxmlformats.org/officeDocument/2006/relationships" name="Summary" sheetId="1" r:id="Rb884f12878c34abc"/>
    <x:sheet xmlns:r="http://schemas.openxmlformats.org/officeDocument/2006/relationships" name="Buick Review" sheetId="2" r:id="Rd939e436641b40bb"/>
    <x:sheet xmlns:r="http://schemas.openxmlformats.org/officeDocument/2006/relationships" name="55 Unlinked Issues" sheetId="3" r:id="R4ec6d09a6b834a82"/>
    <x:sheet xmlns:r="http://schemas.openxmlformats.org/officeDocument/2006/relationships" name="Method" sheetId="4" r:id="Rbdb3fb6098994584"/>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8"/>
      <x:color rgb="FFFFFFFF"/>
      <x:name val="Carlito"/>
    </x:font>
    <x:font>
      <x:i/>
      <x:sz val="11"/>
      <x:color rgb="FF17365D"/>
      <x:name val="Carlito"/>
    </x:font>
    <x:font>
      <x:b/>
      <x:sz val="11"/>
      <x:color rgb="FFFFFFFF"/>
      <x:name val="Carlito"/>
    </x:font>
    <x:font>
      <x:b/>
      <x:sz val="18"/>
      <x:color rgb="FFFFFFFF"/>
      <x:name val="Aptos"/>
    </x:font>
    <x:font>
      <x:i/>
      <x:sz val="11"/>
      <x:color rgb="FF17365D"/>
      <x:name val="Aptos"/>
    </x:font>
    <x:font>
      <x:sz val="11"/>
      <x:name val="Aptos"/>
    </x:font>
    <x:font>
      <x:b/>
      <x:sz val="11"/>
      <x:color rgb="FFFFFFFF"/>
      <x:name val="Aptos"/>
    </x:font>
    <x:font>
      <x:b/>
      <x:sz val="17"/>
      <x:color rgb="FFFFFFFF"/>
      <x:name val="Carlito"/>
    </x:font>
    <x:font>
      <x:sz val="9"/>
      <x:name val="Aptos"/>
    </x:font>
    <x:font>
      <x:b/>
      <x:sz val="9"/>
      <x:color rgb="FF7F6000"/>
      <x:name val="Aptos"/>
    </x:font>
    <x:font>
      <x:b/>
      <x:sz val="9"/>
      <x:color rgb="FF375623"/>
      <x:name val="Aptos"/>
    </x:font>
    <x:font>
      <x:sz val="9"/>
      <x:color rgb="FF7F6000"/>
      <x:name val="Aptos"/>
    </x:font>
    <x:font>
      <x:b/>
      <x:sz val="17"/>
      <x:color rgb="FFFFFFFF"/>
      <x:name val="Aptos"/>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3F6F9"/>
      </x:patternFill>
    </x:fill>
    <x:fill>
      <x:patternFill patternType="solid">
        <x:fgColor rgb="FFFFF2CC"/>
      </x:patternFill>
    </x:fill>
    <x:fill>
      <x:patternFill patternType="solid">
        <x:fgColor rgb="FFE2F0D9"/>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1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2"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5" borderId="1"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3" borderId="0" xfId="0" applyNumberFormat="1" applyFont="1" applyFill="1" applyBorder="1"/>
    <x:xf numFmtId="0" fontId="6" fillId="0" borderId="0" xfId="0" applyNumberFormat="1" applyFont="1" applyFill="1" applyBorder="1"/>
    <x:xf numFmtId="0" fontId="7" fillId="4" borderId="0" xfId="0" applyNumberFormat="1" applyFont="1" applyFill="1" applyBorder="1"/>
    <x:xf numFmtId="0" fontId="7" fillId="2" borderId="0" xfId="0" applyNumberFormat="1" applyFont="1" applyFill="1" applyBorder="1"/>
    <x:xf numFmtId="0" fontId="6" fillId="5" borderId="1"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6" fillId="5" borderId="7" xfId="0" applyNumberFormat="1" applyFont="1" applyFill="1" applyBorder="1" applyAlignment="1">
      <x:alignment vertical="top" wrapText="1"/>
    </x:xf>
    <x:xf numFmtId="0" fontId="6" fillId="5" borderId="8"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7" fillId="4" borderId="0" xfId="0" applyNumberFormat="1" applyFont="1" applyFill="1" applyBorder="1" applyAlignment="1">
      <x:alignment wrapText="1"/>
    </x:xf>
    <x:xf numFmtId="0" fontId="6" fillId="0" borderId="0"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2" fillId="3" borderId="0" xfId="0" applyNumberFormat="1" applyFont="1" applyFill="1" applyBorder="1" applyAlignment="1">
      <x:alignment wrapText="1"/>
    </x:xf>
    <x:xf numFmtId="0" fontId="3" fillId="4"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3" fillId="4" borderId="10" xfId="0" applyNumberFormat="1" applyFont="1" applyFill="1" applyBorder="1" applyAlignment="1">
      <x:alignment vertical="center" wrapText="1"/>
    </x:xf>
    <x:xf numFmtId="0" fontId="3" fillId="4" borderId="11" xfId="0" applyNumberFormat="1" applyFont="1" applyFill="1" applyBorder="1" applyAlignment="1">
      <x:alignment vertical="center" wrapText="1"/>
    </x:xf>
    <x:xf numFmtId="0" fontId="3" fillId="4" borderId="12" xfId="0" applyNumberFormat="1" applyFont="1" applyFill="1" applyBorder="1" applyAlignment="1">
      <x:alignment vertical="center" wrapText="1"/>
    </x:xf>
    <x:xf numFmtId="0" fontId="9" fillId="0" borderId="0" xfId="0" applyNumberFormat="1" applyFont="1" applyFill="1" applyBorder="1"/>
    <x:xf numFmtId="0" fontId="9" fillId="0" borderId="13" xfId="0" applyNumberFormat="1" applyFont="1" applyFill="1" applyBorder="1"/>
    <x:xf numFmtId="0" fontId="9" fillId="0" borderId="14" xfId="0" applyNumberFormat="1" applyFont="1" applyFill="1" applyBorder="1"/>
    <x:xf numFmtId="0" fontId="9" fillId="0" borderId="15" xfId="0" applyNumberFormat="1" applyFont="1" applyFill="1" applyBorder="1"/>
    <x:xf numFmtId="0" fontId="9" fillId="0" borderId="13" xfId="0" applyNumberFormat="1" applyFont="1" applyFill="1" applyBorder="1" applyAlignment="1">
      <x:alignment wrapText="1"/>
    </x:xf>
    <x:xf numFmtId="0" fontId="9" fillId="0" borderId="14" xfId="0" applyNumberFormat="1" applyFont="1" applyFill="1" applyBorder="1" applyAlignment="1">
      <x:alignment wrapText="1"/>
    </x:xf>
    <x:xf numFmtId="0" fontId="9" fillId="0" borderId="15" xfId="0" applyNumberFormat="1" applyFont="1" applyFill="1" applyBorder="1" applyAlignment="1">
      <x:alignment wrapText="1"/>
    </x:xf>
    <x:xf numFmtId="0" fontId="9" fillId="0" borderId="13" xfId="0" applyNumberFormat="1" applyFont="1" applyFill="1" applyBorder="1" applyAlignment="1">
      <x:alignment vertical="top" wrapText="1"/>
    </x:xf>
    <x:xf numFmtId="0" fontId="9" fillId="0" borderId="14" xfId="0" applyNumberFormat="1" applyFont="1" applyFill="1" applyBorder="1" applyAlignment="1">
      <x:alignment vertical="top" wrapText="1"/>
    </x:xf>
    <x:xf numFmtId="0" fontId="9" fillId="0" borderId="15" xfId="0" applyNumberFormat="1" applyFont="1" applyFill="1" applyBorder="1" applyAlignment="1">
      <x:alignment vertical="top" wrapText="1"/>
    </x:xf>
    <x:xf numFmtId="0" fontId="9" fillId="6" borderId="13" xfId="0" applyNumberFormat="1" applyFont="1" applyFill="1" applyBorder="1" applyAlignment="1">
      <x:alignment vertical="top" wrapText="1"/>
    </x:xf>
    <x:xf numFmtId="0" fontId="9" fillId="6" borderId="14" xfId="0" applyNumberFormat="1" applyFont="1" applyFill="1" applyBorder="1" applyAlignment="1">
      <x:alignment vertical="top" wrapText="1"/>
    </x:xf>
    <x:xf numFmtId="0" fontId="9" fillId="6" borderId="15" xfId="0" applyNumberFormat="1" applyFont="1" applyFill="1" applyBorder="1" applyAlignment="1">
      <x:alignment vertical="top" wrapText="1"/>
    </x:xf>
    <x:xf numFmtId="0" fontId="10" fillId="6" borderId="13" xfId="0" applyNumberFormat="1" applyFont="1" applyFill="1" applyBorder="1" applyAlignment="1">
      <x:alignment vertical="top" wrapText="1"/>
    </x:xf>
    <x:xf numFmtId="0" fontId="10" fillId="6" borderId="14" xfId="0" applyNumberFormat="1" applyFont="1" applyFill="1" applyBorder="1" applyAlignment="1">
      <x:alignment vertical="top" wrapText="1"/>
    </x:xf>
    <x:xf numFmtId="0" fontId="10" fillId="6" borderId="15"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9" fillId="7" borderId="13" xfId="0" applyNumberFormat="1" applyFont="1" applyFill="1" applyBorder="1" applyAlignment="1">
      <x:alignment vertical="top" wrapText="1"/>
    </x:xf>
    <x:xf numFmtId="0" fontId="9" fillId="7" borderId="14" xfId="0" applyNumberFormat="1" applyFont="1" applyFill="1" applyBorder="1" applyAlignment="1">
      <x:alignment vertical="top" wrapText="1"/>
    </x:xf>
    <x:xf numFmtId="0" fontId="9" fillId="7" borderId="15" xfId="0" applyNumberFormat="1" applyFont="1" applyFill="1" applyBorder="1" applyAlignment="1">
      <x:alignment vertical="top" wrapText="1"/>
    </x:xf>
    <x:xf numFmtId="0" fontId="11" fillId="7" borderId="13" xfId="0" applyNumberFormat="1" applyFont="1" applyFill="1" applyBorder="1" applyAlignment="1">
      <x:alignment vertical="top" wrapText="1"/>
    </x:xf>
    <x:xf numFmtId="0" fontId="11" fillId="7" borderId="14" xfId="0" applyNumberFormat="1" applyFont="1" applyFill="1" applyBorder="1" applyAlignment="1">
      <x:alignment vertical="top" wrapText="1"/>
    </x:xf>
    <x:xf numFmtId="0" fontId="11" fillId="7" borderId="15" xfId="0" applyNumberFormat="1" applyFont="1" applyFill="1" applyBorder="1" applyAlignment="1">
      <x:alignment vertical="top" wrapText="1"/>
    </x:xf>
    <x:xf numFmtId="0" fontId="11" fillId="7" borderId="13" xfId="0" applyNumberFormat="1" applyFont="1" applyFill="1" applyBorder="1" applyAlignment="1">
      <x:alignment horizontal="center" vertical="top" wrapText="1"/>
    </x:xf>
    <x:xf numFmtId="0" fontId="11" fillId="7" borderId="14" xfId="0" applyNumberFormat="1" applyFont="1" applyFill="1" applyBorder="1" applyAlignment="1">
      <x:alignment horizontal="center" vertical="top" wrapText="1"/>
    </x:xf>
    <x:xf numFmtId="0" fontId="11" fillId="7" borderId="15" xfId="0" applyNumberFormat="1" applyFont="1" applyFill="1" applyBorder="1" applyAlignment="1">
      <x:alignment horizontal="center" vertical="top" wrapText="1"/>
    </x:xf>
    <x:xf numFmtId="0" fontId="12" fillId="6" borderId="13" xfId="0" applyNumberFormat="1" applyFont="1" applyFill="1" applyBorder="1" applyAlignment="1">
      <x:alignment vertical="top" wrapText="1"/>
    </x:xf>
    <x:xf numFmtId="0" fontId="12" fillId="6" borderId="14" xfId="0" applyNumberFormat="1" applyFont="1" applyFill="1" applyBorder="1" applyAlignment="1">
      <x:alignment vertical="top" wrapText="1"/>
    </x:xf>
    <x:xf numFmtId="0" fontId="12" fillId="6" borderId="15" xfId="0" applyNumberFormat="1" applyFont="1" applyFill="1" applyBorder="1" applyAlignment="1">
      <x:alignment vertical="top" wrapText="1"/>
    </x:xf>
    <x:xf numFmtId="0" fontId="3" fillId="4"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3" fillId="4"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3" fillId="4"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3"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13" fillId="2" borderId="0" xfId="0" applyNumberFormat="1" applyFont="1" applyFill="1" applyBorder="1"/>
    <x:xf numFmtId="0" fontId="7" fillId="4"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5" borderId="13" xfId="0" applyNumberFormat="1" applyFont="1" applyFill="1" applyBorder="1" applyAlignment="1">
      <x:alignment vertical="top" wrapText="1"/>
    </x:xf>
    <x:xf numFmtId="0" fontId="6" fillId="5" borderId="14" xfId="0" applyNumberFormat="1" applyFont="1" applyFill="1" applyBorder="1" applyAlignment="1">
      <x:alignment vertical="top" wrapText="1"/>
    </x:xf>
    <x:xf numFmtId="0" fontId="6" fillId="5" borderId="15" xfId="0" applyNumberFormat="1" applyFont="1" applyFill="1" applyBorder="1" applyAlignment="1">
      <x:alignment vertical="top" wrapText="1"/>
    </x:xf>
  </x:cellXfs>
  <x:cellStyles count="1">
    <x:cellStyle name="Normal" xfId="0"/>
  </x:cellStyles>
  <x:dxfs count="3">
    <x:dxf>
      <x:font>
        <x:b/>
        <x:color rgb="FF9C0006"/>
      </x:font>
      <x:fill>
        <x:patternFill patternType="solid">
          <x:bgColor rgb="FFFCE4D6"/>
        </x:patternFill>
      </x:fill>
    </x:dxf>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2a50f3e101420d" /><Relationship Type="http://schemas.openxmlformats.org/officeDocument/2006/relationships/theme" Target="/xl/theme/theme1.xml" Id="R51e55d8a45374c8b" /><Relationship Type="http://schemas.openxmlformats.org/officeDocument/2006/relationships/sharedStrings" Target="/xl/sharedStrings.xml" Id="R591f4b86b98f457b" /><Relationship Type="http://schemas.openxmlformats.org/officeDocument/2006/relationships/worksheet" Target="/xl/worksheets/sheet1.xml" Id="Rb884f12878c34abc" /><Relationship Type="http://schemas.openxmlformats.org/officeDocument/2006/relationships/worksheet" Target="/xl/worksheets/sheet2.xml" Id="Rd939e436641b40bb" /><Relationship Type="http://schemas.openxmlformats.org/officeDocument/2006/relationships/worksheet" Target="/xl/worksheets/sheet3.xml" Id="R4ec6d09a6b834a82" /><Relationship Type="http://schemas.openxmlformats.org/officeDocument/2006/relationships/worksheet" Target="/xl/worksheets/sheet4.xml" Id="Rbdb3fb6098994584" /></Relationships>
</file>

<file path=xl/tables/table1.xml><?xml version="1.0" encoding="utf-8"?>
<x:table xmlns:x="http://schemas.openxmlformats.org/spreadsheetml/2006/main" id="1" name="UnlinkedBuickIssuesTable" displayName="UnlinkedBuickIssuesTable" ref="A4:M59" headerRowCount="1" totalsRowCount="0" totalsRowShown="0">
  <x:tableColumns count="13">
    <x:tableColumn id="1" name="#"/>
    <x:tableColumn id="2" name="Issue ID"/>
    <x:tableColumn id="3" name="YMMT"/>
    <x:tableColumn id="4" name="Known Issue"/>
    <x:tableColumn id="5" name="Description / Context"/>
    <x:tableColumn id="6" name="How to Fix (full)"/>
    <x:tableColumn id="7" name="Symptoms"/>
    <x:tableColumn id="8" name="DTC Codes"/>
    <x:tableColumn id="9" name="Existing Link Count"/>
    <x:tableColumn id="10" name="Repair Items to Extract"/>
    <x:tableColumn id="11" name="Candidate URL(s)"/>
    <x:tableColumn id="12" name="Reviewer Status"/>
    <x:tableColumn id="13" name="Review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170072214534582"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50" hidden="0" customWidth="1"/>
    <x:col min="3" max="3" width="3" hidden="0" customWidth="1"/>
    <x:col min="4" max="4" width="38" hidden="0" customWidth="1"/>
    <x:col min="5" max="5" width="12" hidden="0" customWidth="1"/>
    <x:col min="6" max="6" width="4" hidden="0" customWidth="1"/>
    <x:col min="7" max="7" width="4" hidden="0" customWidth="1"/>
    <x:col min="8" max="8" width="4" hidden="0" customWidth="1"/>
  </x:cols>
  <x:sheetData>
    <x:row r="1" ht="34" customHeight="1">
      <x:c r="A1" s="37" t="str">
        <x:v>Buick Repair-First Fitment Review</x:v>
      </x:c>
      <x:c r="B1" s="37"/>
      <x:c r="C1" s="37"/>
      <x:c r="D1" s="37"/>
      <x:c r="E1" s="37"/>
      <x:c r="F1" s="37"/>
      <x:c r="G1" s="37"/>
      <x:c r="H1" s="37"/>
    </x:row>
    <x:row r="2" ht="22" customHeight="1">
      <x:c r="A2" s="38" t="str">
        <x:v>Review-only workbook — no Buick links have been deployed</x:v>
      </x:c>
      <x:c r="B2" s="38"/>
      <x:c r="C2" s="38"/>
      <x:c r="D2" s="38"/>
      <x:c r="E2" s="38"/>
      <x:c r="F2" s="38"/>
      <x:c r="G2" s="38"/>
      <x:c r="H2" s="38"/>
    </x:row>
    <x:row r="3" ht="22" customHeight="1">
      <x:c r="A3" s="39"/>
      <x:c r="B3" s="39"/>
      <x:c r="C3" s="39"/>
      <x:c r="D3" s="39"/>
      <x:c r="E3" s="39"/>
      <x:c r="F3" s="39"/>
      <x:c r="G3" s="39"/>
      <x:c r="H3" s="39"/>
    </x:row>
    <x:row r="4" ht="22" customHeight="1">
      <x:c r="A4" s="51" t="str">
        <x:v>Metric</x:v>
      </x:c>
      <x:c r="B4" s="40" t="str">
        <x:v>Value</x:v>
      </x:c>
      <x:c r="C4" s="39"/>
      <x:c r="D4" s="40" t="str">
        <x:v>Decision</x:v>
      </x:c>
      <x:c r="E4" s="40" t="str">
        <x:v>Count</x:v>
      </x:c>
      <x:c r="F4" s="39"/>
      <x:c r="G4" s="39"/>
      <x:c r="H4" s="39"/>
    </x:row>
    <x:row r="5" ht="22" customHeight="1">
      <x:c r="A5" s="52" t="str">
        <x:v>Published Buick issues</x:v>
      </x:c>
      <x:c r="B5" s="39" t="n">
        <x:v>70</x:v>
      </x:c>
      <x:c r="C5" s="39"/>
      <x:c r="D5" s="39" t="str">
        <x:v>CONTENT CORRECTION + PARTIAL APPROVAL</x:v>
      </x:c>
      <x:c r="E5" s="39" t="n">
        <x:f>COUNTIF('Buick Review'!$G$5:$G$19,D5)</x:f>
        <x:v>3</x:v>
      </x:c>
      <x:c r="F5" s="39"/>
      <x:c r="G5" s="39"/>
      <x:c r="H5" s="39"/>
    </x:row>
    <x:row r="6" ht="22" customHeight="1">
      <x:c r="A6" s="52" t="str">
        <x:v>Issues reviewed in this pass</x:v>
      </x:c>
      <x:c r="B6" s="39" t="n">
        <x:v>15</x:v>
      </x:c>
      <x:c r="C6" s="39"/>
      <x:c r="D6" s="39" t="str">
        <x:v>PARTIAL APPROVAL</x:v>
      </x:c>
      <x:c r="E6" s="39" t="n">
        <x:f>COUNTIF('Buick Review'!$G$5:$G$19,D6)</x:f>
        <x:v>1</x:v>
      </x:c>
      <x:c r="F6" s="39"/>
      <x:c r="G6" s="39"/>
      <x:c r="H6" s="39"/>
    </x:row>
    <x:row r="7" ht="22" customHeight="1">
      <x:c r="A7" s="52" t="str">
        <x:v>Issues remaining</x:v>
      </x:c>
      <x:c r="B7" s="39" t="n">
        <x:v>55</x:v>
      </x:c>
      <x:c r="C7" s="39"/>
      <x:c r="D7" s="39" t="str">
        <x:v>SPECIALIST SERVICE / HOLD RETAIL CTA</x:v>
      </x:c>
      <x:c r="E7" s="39" t="n">
        <x:f>COUNTIF('Buick Review'!$G$5:$G$19,D7)</x:f>
        <x:v>1</x:v>
      </x:c>
      <x:c r="F7" s="39"/>
      <x:c r="G7" s="39"/>
      <x:c r="H7" s="39"/>
    </x:row>
    <x:row r="8" ht="22" customHeight="1">
      <x:c r="A8" s="52" t="str">
        <x:v>Existing live commerce links at snapshot</x:v>
      </x:c>
      <x:c r="B8" s="39" t="n">
        <x:v>2</x:v>
      </x:c>
      <x:c r="C8" s="39"/>
      <x:c r="D8" s="39" t="str">
        <x:v>DIAGNOSIS-FIRST HOLD</x:v>
      </x:c>
      <x:c r="E8" s="39" t="n">
        <x:f>COUNTIF('Buick Review'!$G$5:$G$19,D8)</x:f>
        <x:v>1</x:v>
      </x:c>
      <x:c r="F8" s="39"/>
      <x:c r="G8" s="39"/>
      <x:c r="H8" s="39"/>
    </x:row>
    <x:row r="9" ht="22" customHeight="1">
      <x:c r="A9" s="52" t="str">
        <x:v>Deployment status</x:v>
      </x:c>
      <x:c r="B9" s="39" t="str">
        <x:v>NOT DEPLOYED</x:v>
      </x:c>
      <x:c r="C9" s="39"/>
      <x:c r="D9" s="39" t="str">
        <x:v>POSITION-SPECIFIC PARTIAL APPROVAL</x:v>
      </x:c>
      <x:c r="E9" s="39" t="n">
        <x:f>COUNTIF('Buick Review'!$G$5:$G$19,D9)</x:f>
        <x:v>1</x:v>
      </x:c>
      <x:c r="F9" s="39"/>
      <x:c r="G9" s="39"/>
      <x:c r="H9" s="39"/>
    </x:row>
    <x:row r="10" ht="22" customHeight="1">
      <x:c r="A10" s="39"/>
      <x:c r="B10" s="39"/>
      <x:c r="C10" s="39"/>
      <x:c r="D10" s="39" t="str">
        <x:v>COVERAGE-FIRST + PARTIAL APPROVAL</x:v>
      </x:c>
      <x:c r="E10" s="39" t="n">
        <x:f>COUNTIF('Buick Review'!$G$5:$G$19,D10)</x:f>
        <x:v>1</x:v>
      </x:c>
      <x:c r="F10" s="39"/>
      <x:c r="G10" s="39"/>
      <x:c r="H10" s="39"/>
    </x:row>
    <x:row r="11" ht="22" customHeight="1">
      <x:c r="A11" s="39"/>
      <x:c r="B11" s="39"/>
      <x:c r="C11" s="39"/>
      <x:c r="D11" s="39" t="str">
        <x:v>COVERAGE-FIRST / NO RETAIL CTA</x:v>
      </x:c>
      <x:c r="E11" s="39" t="n">
        <x:f>COUNTIF('Buick Review'!$G$5:$G$19,D11)</x:f>
        <x:v>1</x:v>
      </x:c>
      <x:c r="F11" s="39"/>
      <x:c r="G11" s="39"/>
      <x:c r="H11" s="39"/>
    </x:row>
    <x:row r="12" ht="22" customHeight="1">
      <x:c r="A12" s="39"/>
      <x:c r="B12" s="39"/>
      <x:c r="C12" s="39"/>
      <x:c r="D12" s="39" t="str">
        <x:v>DIAGNOSIS-GATED PARTIAL APPROVAL</x:v>
      </x:c>
      <x:c r="E12" s="39" t="n">
        <x:f>COUNTIF('Buick Review'!$G$5:$G$19,D12)</x:f>
        <x:v>1</x:v>
      </x:c>
      <x:c r="F12" s="39"/>
      <x:c r="G12" s="39"/>
      <x:c r="H12" s="39"/>
    </x:row>
    <x:row r="13" ht="22" customHeight="1">
      <x:c r="A13" s="39"/>
      <x:c r="B13" s="39"/>
      <x:c r="C13" s="39"/>
      <x:c r="D13" s="39" t="str">
        <x:v>COVERAGE-FIRST + YEAR-SPLIT APPROVAL</x:v>
      </x:c>
      <x:c r="E13" s="39" t="n">
        <x:f>COUNTIF('Buick Review'!$G$5:$G$19,D13)</x:f>
        <x:v>1</x:v>
      </x:c>
      <x:c r="F13" s="39"/>
      <x:c r="G13" s="39"/>
      <x:c r="H13" s="39"/>
    </x:row>
    <x:row r="14" ht="22" customHeight="1">
      <x:c r="A14" s="39"/>
      <x:c r="B14" s="39"/>
      <x:c r="C14" s="39"/>
      <x:c r="D14" s="39" t="str">
        <x:v>FLUID APPROVAL + SERVICE GATE</x:v>
      </x:c>
      <x:c r="E14" s="39" t="n">
        <x:f>COUNTIF('Buick Review'!$G$5:$G$19,D14)</x:f>
        <x:v>1</x:v>
      </x:c>
      <x:c r="F14" s="39"/>
      <x:c r="G14" s="39"/>
      <x:c r="H14" s="39"/>
    </x:row>
    <x:row r="15" ht="22" customHeight="1">
      <x:c r="A15" s="39"/>
      <x:c r="B15" s="39"/>
      <x:c r="C15" s="39"/>
      <x:c r="D15" s="39" t="str">
        <x:v>PART APPROVAL</x:v>
      </x:c>
      <x:c r="E15" s="39" t="n">
        <x:f>COUNTIF('Buick Review'!$G$5:$G$19,D15)</x:f>
        <x:v>1</x:v>
      </x:c>
      <x:c r="F15" s="39"/>
      <x:c r="G15" s="39"/>
      <x:c r="H15" s="39"/>
    </x:row>
    <x:row r="16" ht="22" customHeight="1">
      <x:c r="A16" s="39"/>
      <x:c r="B16" s="39"/>
      <x:c r="C16" s="39"/>
      <x:c r="D16" s="39" t="str">
        <x:v>YEAR-SPLIT PARTIAL APPROVAL</x:v>
      </x:c>
      <x:c r="E16" s="39" t="n">
        <x:f>COUNTIF('Buick Review'!$G$5:$G$19,D16)</x:f>
        <x:v>1</x:v>
      </x:c>
      <x:c r="F16" s="39"/>
      <x:c r="G16" s="39"/>
      <x:c r="H16" s="39"/>
    </x:row>
    <x:row r="17" ht="22" customHeight="1">
      <x:c r="A17" s="39"/>
      <x:c r="B17" s="39"/>
      <x:c r="C17" s="39"/>
      <x:c r="D17" s="39" t="str">
        <x:v>FLUID APPROVAL + DIAGNOSIS-FIRST HOLD</x:v>
      </x:c>
      <x:c r="E17" s="39" t="n">
        <x:f>COUNTIF('Buick Review'!$G$5:$G$19,D17)</x:f>
        <x:v>1</x:v>
      </x:c>
      <x:c r="F17" s="39"/>
      <x:c r="G17" s="39"/>
      <x:c r="H17" s="39"/>
    </x:row>
    <x:row r="18" ht="22" customHeight="1">
      <x:c r="A18" s="39"/>
      <x:c r="B18" s="39"/>
      <x:c r="C18" s="39"/>
      <x:c r="D18" s="39"/>
      <x:c r="E18" s="39"/>
      <x:c r="F18" s="39"/>
      <x:c r="G18" s="39"/>
      <x:c r="H18" s="39"/>
    </x:row>
    <x:row r="19" ht="22" customHeight="1">
      <x:c r="A19" s="39"/>
      <x:c r="B19" s="39"/>
      <x:c r="C19" s="39"/>
      <x:c r="D19" s="39"/>
      <x:c r="E19" s="39"/>
      <x:c r="F19" s="39"/>
      <x:c r="G19" s="39"/>
      <x:c r="H19" s="39"/>
    </x:row>
    <x:row r="20" ht="22" customHeight="1">
      <x:c r="A20" s="41" t="str">
        <x:v>Important review findings</x:v>
      </x:c>
      <x:c r="B20" s="41"/>
      <x:c r="C20" s="41"/>
      <x:c r="D20" s="41"/>
      <x:c r="E20" s="41"/>
      <x:c r="F20" s="41"/>
      <x:c r="G20" s="41"/>
      <x:c r="H20" s="41"/>
    </x:row>
    <x:row r="21" ht="42" customHeight="1">
      <x:c r="A21" s="42" t="str">
        <x:v>1</x:v>
      </x:c>
      <x:c r="B21" s="43" t="str">
        <x:v>Both 3800 entries name the wrong Fel-Pro gasket. MS98014T is the corrected 3.8L part; MS98003T must not be linked.</x:v>
      </x:c>
      <x:c r="C21" s="43"/>
      <x:c r="D21" s="43"/>
      <x:c r="E21" s="43"/>
      <x:c r="F21" s="43"/>
      <x:c r="G21" s="43"/>
      <x:c r="H21" s="44"/>
    </x:row>
    <x:row r="22" ht="42" customHeight="1">
      <x:c r="A22" s="45" t="str">
        <x:v>2</x:v>
      </x:c>
      <x:c r="B22" s="46" t="str">
        <x:v>The two Enclave timing-chain entries overlap. Their 2008 engine designation must be separated from 2009+ LLT fitment.</x:v>
      </x:c>
      <x:c r="C22" s="46"/>
      <x:c r="D22" s="46"/>
      <x:c r="E22" s="46"/>
      <x:c r="F22" s="46"/>
      <x:c r="G22" s="46"/>
      <x:c r="H22" s="47"/>
    </x:row>
    <x:row r="23" ht="42" customHeight="1">
      <x:c r="A23" s="45" t="str">
        <x:v>3</x:v>
      </x:c>
      <x:c r="B23" s="46" t="str">
        <x:v>Recall/special-coverage and diagnosis gates remain ahead of retail links for steering, oil-consumption, transmission, and A/C cases.</x:v>
      </x:c>
      <x:c r="C23" s="46"/>
      <x:c r="D23" s="46"/>
      <x:c r="E23" s="46"/>
      <x:c r="F23" s="46"/>
      <x:c r="G23" s="46"/>
      <x:c r="H23" s="47"/>
    </x:row>
    <x:row r="24" ht="42" customHeight="1">
      <x:c r="A24" s="45" t="str">
        <x:v>4</x:v>
      </x:c>
      <x:c r="B24" s="46" t="str">
        <x:v>No OBD/scanner link was inferred from a DTC. Every destination comes from the full How to Fix repair path.</x:v>
      </x:c>
      <x:c r="C24" s="46"/>
      <x:c r="D24" s="46"/>
      <x:c r="E24" s="46"/>
      <x:c r="F24" s="46"/>
      <x:c r="G24" s="46"/>
      <x:c r="H24" s="47"/>
    </x:row>
    <x:row r="25" ht="42" customHeight="1">
      <x:c r="A25" s="48" t="str">
        <x:v>5</x:v>
      </x:c>
      <x:c r="B25" s="49" t="str">
        <x:v>Partial-component links are labeled partial; they are never represented as a complete timing or transmission repair.</x:v>
      </x:c>
      <x:c r="C25" s="49"/>
      <x:c r="D25" s="49"/>
      <x:c r="E25" s="49"/>
      <x:c r="F25" s="49"/>
      <x:c r="G25" s="49"/>
      <x:c r="H25" s="50"/>
    </x:row>
  </x:sheetData>
  <x:mergeCells>
    <x:mergeCell ref="A1:H1"/>
    <x:mergeCell ref="A2:H2"/>
    <x:mergeCell ref="A20:H20"/>
    <x:mergeCell ref="B21:H21"/>
    <x:mergeCell ref="B22:H22"/>
    <x:mergeCell ref="B23:H23"/>
    <x:mergeCell ref="B24:H24"/>
    <x:mergeCell ref="B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34" hidden="0" customWidth="1"/>
    <x:col min="3" max="3" width="38" hidden="0" customWidth="1"/>
    <x:col min="4" max="4" width="34" hidden="0" customWidth="1"/>
    <x:col min="5" max="5" width="58" hidden="0" customWidth="1"/>
    <x:col min="6" max="6" width="46" hidden="0" customWidth="1"/>
    <x:col min="7" max="7" width="30" hidden="0" customWidth="1"/>
    <x:col min="8" max="8" width="42" hidden="0" customWidth="1"/>
    <x:col min="9" max="9" width="55" hidden="0" customWidth="1"/>
    <x:col min="10" max="10" width="44" hidden="0" customWidth="1"/>
    <x:col min="11" max="11" width="36" hidden="0" customWidth="1"/>
    <x:col min="12" max="12" width="54" hidden="0" customWidth="1"/>
    <x:col min="13" max="13" width="54" hidden="0" customWidth="1"/>
    <x:col min="14" max="14" width="25" hidden="0" customWidth="1"/>
    <x:col min="15" max="15" width="55" hidden="0" customWidth="1"/>
  </x:cols>
  <x:sheetData>
    <x:row r="1" ht="34" customHeight="1">
      <x:c r="A1" s="54" t="str">
        <x:v>Buick Known-Issue Link Review — Repair-First Method</x:v>
      </x:c>
      <x:c r="B1" s="54"/>
      <x:c r="C1" s="54"/>
      <x:c r="D1" s="54"/>
      <x:c r="E1" s="54"/>
      <x:c r="F1" s="54"/>
      <x:c r="G1" s="54"/>
      <x:c r="H1" s="54"/>
      <x:c r="I1" s="54"/>
      <x:c r="J1" s="54"/>
      <x:c r="K1" s="54"/>
      <x:c r="L1" s="54"/>
      <x:c r="M1" s="54"/>
      <x:c r="N1" s="54"/>
      <x:c r="O1" s="54"/>
    </x:row>
    <x:row r="2" ht="34" customHeight="1">
      <x:c r="A2" s="55" t="str">
        <x:v>Read How to Fix → extract repair items → search exact YMMT + item + US → open product page → verify fitment → approve, split, or hold</x:v>
      </x:c>
      <x:c r="B2" s="55"/>
      <x:c r="C2" s="55"/>
      <x:c r="D2" s="55"/>
      <x:c r="E2" s="55"/>
      <x:c r="F2" s="55"/>
      <x:c r="G2" s="55"/>
      <x:c r="H2" s="55"/>
      <x:c r="I2" s="55"/>
      <x:c r="J2" s="55"/>
      <x:c r="K2" s="55"/>
      <x:c r="L2" s="55"/>
      <x:c r="M2" s="55"/>
      <x:c r="N2" s="55"/>
      <x:c r="O2" s="55"/>
    </x:row>
    <x:row r="4" ht="40" customHeight="1">
      <x:c r="A4" s="62" t="str">
        <x:v>#</x:v>
      </x:c>
      <x:c r="B4" s="63" t="str">
        <x:v>Issue ID</x:v>
      </x:c>
      <x:c r="C4" s="63" t="str">
        <x:v>YMMT</x:v>
      </x:c>
      <x:c r="D4" s="63" t="str">
        <x:v>Known Issue</x:v>
      </x:c>
      <x:c r="E4" s="63" t="str">
        <x:v>How to Fix (full)</x:v>
      </x:c>
      <x:c r="F4" s="63" t="str">
        <x:v>Repair items extracted</x:v>
      </x:c>
      <x:c r="G4" s="63" t="str">
        <x:v>Decision</x:v>
      </x:c>
      <x:c r="H4" s="63" t="str">
        <x:v>Approved destination(s)</x:v>
      </x:c>
      <x:c r="I4" s="63" t="str">
        <x:v>Exact URL(s)</x:v>
      </x:c>
      <x:c r="J4" s="63" t="str">
        <x:v>Verified fitment scope</x:v>
      </x:c>
      <x:c r="K4" s="63" t="str">
        <x:v>Role / limitation</x:v>
      </x:c>
      <x:c r="L4" s="63" t="str">
        <x:v>Why approved or held</x:v>
      </x:c>
      <x:c r="M4" s="63" t="str">
        <x:v>Content correction / gate</x:v>
      </x:c>
      <x:c r="N4" s="63" t="str">
        <x:v>Status</x:v>
      </x:c>
      <x:c r="O4" s="64" t="str">
        <x:v>Evidence URL(s)</x:v>
      </x:c>
    </x:row>
    <x:row r="5" ht="110" customHeight="1">
      <x:c r="A5" s="72" t="n">
        <x:v>1</x:v>
      </x:c>
      <x:c r="B5" s="72" t="str">
        <x:v>buick-3800-lower-intake-gasket-lesabre</x:v>
      </x:c>
      <x:c r="C5" s="72" t="str">
        <x:v>1995-2005 | Buick | LeSabre | Custom, Limited, 90th Anniversary, Celebration | 3.8L L36 (Series II/III)</x:v>
      </x:c>
      <x:c r="D5" s="72" t="str">
        <x:v>LeSabre 3800 V6 Lower Intake Manifold (LIM) Gasket Leak</x:v>
      </x:c>
      <x:c r="E5" s="72" t="str">
        <x:v>LIM gasket job is the same: Fel-Pro MS98003T or similar updated design — $400-$800. Replace UIM plenum if cracked, and drain Dex-Cool. Many shops will replace the EGR stovepipe gasket and throttle body gasket while everything is apart.</x:v>
      </x:c>
      <x:c r="F5" s="72" t="str">
        <x:v>Lower intake manifold gasket; inspect/replace upper intake plenum; drain coolant; optional EGR stovepipe and throttle-body gaskets</x:v>
      </x:c>
      <x:c r="G5" s="72" t="str">
        <x:v>CONTENT CORRECTION + PARTIAL APPROVAL</x:v>
      </x:c>
      <x:c r="H5" s="72" t="str">
        <x:v>Fel-Pro MS98014T intake manifold gasket set</x:v>
      </x:c>
      <x:c r="I5" s="72" t="str">
        <x:v>https://www.autozone.com/p/fel-pro-engine-intake-manifold-gasket-set-ms98014t/217566</x:v>
      </x:c>
      <x:c r="J5" s="72" t="str">
        <x:v>1996-2005 LeSabre 3.8L; verify VIN/engine before purchase</x:v>
      </x:c>
      <x:c r="K5" s="72" t="str">
        <x:v>primary repair part</x:v>
      </x:c>
      <x:c r="L5" s="72" t="str">
        <x:v>The named MS98003T is a 3.1/3.4L application. MS98014T is the verified 3800 gasket. The product does not cover the optional plenum or ancillary gaskets.</x:v>
      </x:c>
      <x:c r="M5" s="72" t="str">
        <x:v>Replace MS98003T with MS98014T. Narrow verified link scope to 1996-2005; hold 1995 until its exact engine/VIN split is confirmed.</x:v>
      </x:c>
      <x:c r="N5" s="78" t="str">
        <x:v>REVIEW ONLY — NOT DEPLOYED</x:v>
      </x:c>
      <x:c r="O5" s="72" t="str">
        <x:v>https://www.partsgeek.com/mmparts/intake_manifold_gasket/buick/lesabre.html
https://www.ebay.com/itm/236597628678</x:v>
      </x:c>
    </x:row>
    <x:row r="6" ht="110" customHeight="1">
      <x:c r="A6" s="73" t="n">
        <x:v>2</x:v>
      </x:c>
      <x:c r="B6" s="73" t="str">
        <x:v>buick-3800-lower-intake-gasket-park-avenue</x:v>
      </x:c>
      <x:c r="C6" s="73" t="str">
        <x:v>1995-2005 | Buick | Park Avenue | Base, Ultra | 3.8L L36 (Series II/III), 3.8L L67 Supercharged</x:v>
      </x:c>
      <x:c r="D6" s="73" t="str">
        <x:v>Park Avenue 3800 V6 Lower Intake Manifold (LIM) Gasket Leak</x:v>
      </x:c>
      <x:c r="E6" s="73" t="str">
        <x:v>Replace LIM gasket with updated Fel-Pro MS98003T (improved metal-reinforced design) — $400-$800 at independent. Replace upper intake plenum at the same time if cracked. Drain Dex-Cool and refill with Zerex G-05 or compatible HOAT. Inspect oil for coolant contamination at every change; milky oil means immediate teardown.</x:v>
      </x:c>
      <x:c r="F6" s="73" t="str">
        <x:v>Lower intake manifold gasket; inspect/replace upper intake plenum; drain/refill coolant; inspect oil contamination</x:v>
      </x:c>
      <x:c r="G6" s="73" t="str">
        <x:v>CONTENT CORRECTION + PARTIAL APPROVAL</x:v>
      </x:c>
      <x:c r="H6" s="73" t="str">
        <x:v>Fel-Pro MS98014T intake manifold gasket set</x:v>
      </x:c>
      <x:c r="I6" s="73" t="str">
        <x:v>https://www.autozone.com/p/fel-pro-engine-intake-manifold-gasket-set-ms98014t/217566</x:v>
      </x:c>
      <x:c r="J6" s="73" t="str">
        <x:v>1995-2005 Park Avenue 3.8L; confirm naturally aspirated vs supercharged configuration and VIN</x:v>
      </x:c>
      <x:c r="K6" s="73" t="str">
        <x:v>primary repair part</x:v>
      </x:c>
      <x:c r="L6" s="73" t="str">
        <x:v>MS98014T is the correct 3800 lower-intake set; MS98003T is not. The optional upper plenum and coolant choice remain separate decisions.</x:v>
      </x:c>
      <x:c r="M6" s="73" t="str">
        <x:v>Replace MS98003T with MS98014T. Remove the blanket recommendation to replace Dex-Cool with Zerex G-05 unless supported by the service information for the exact vehicle.</x:v>
      </x:c>
      <x:c r="N6" s="79" t="str">
        <x:v>REVIEW ONLY — NOT DEPLOYED</x:v>
      </x:c>
      <x:c r="O6" s="73" t="str">
        <x:v>https://www.ebay.com/itm/375107875198</x:v>
      </x:c>
    </x:row>
    <x:row r="7" ht="110" customHeight="1">
      <x:c r="A7" s="73" t="n">
        <x:v>3</x:v>
      </x:c>
      <x:c r="B7" s="73" t="str">
        <x:v>buick-cascada-1.6t-timing-chain</x:v>
      </x:c>
      <x:c r="C7" s="73" t="str">
        <x:v>2016-2019 | Buick | Cascada | Base, Premium, Sport Touring | 1.6L Turbo SIDI</x:v>
      </x:c>
      <x:c r="D7" s="73" t="str">
        <x:v>Cascada 1.6L Turbo (Opel SIDI) Timing Chain &amp; Carbon Buildup</x:v>
      </x:c>
      <x:c r="E7" s="73" t="str">
        <x:v>Chain kit replacement ~$1,500-$2,500 (parts harder to source than US-built GM engines). Walnut blast intake valves at the same service ($300-$500). Use dexos2 full-synthetic 5W-30 — required spec for European-build engines.</x:v>
      </x:c>
      <x:c r="F7" s="73" t="str">
        <x:v>Timing chain, guides, tensioner and remaining kit hardware; walnut-blast service; dexos2 5W-30</x:v>
      </x:c>
      <x:c r="G7" s="73" t="str">
        <x:v>PARTIAL APPROVAL</x:v>
      </x:c>
      <x:c r="H7" s="73" t="str">
        <x:v>Genuine GM timing chain 55569250
Genuine GM timing-chain guide 55569246
Genuine GM timing-chain tensioner 55500814</x:v>
      </x:c>
      <x:c r="I7" s="73" t="str">
        <x:v>https://www.gmpartsgiant.com/parts/gm-chain-cm-shf-tmg-55569250.html
https://www.gmpartsgiant.com/parts/gm-guide-tmg-chain-55569246.html
https://www.gmpartsgiant.com/parts/gm-tensioner-asm-tmg-chain-55500814.html</x:v>
      </x:c>
      <x:c r="J7" s="73" t="str">
        <x:v>2016-2019 Cascada 1.6L
2016-2019 Cascada 1.6L
2016-2019 Cascada 1.6L</x:v>
      </x:c>
      <x:c r="K7" s="73" t="str">
        <x:v>partial component
partial component
partial component</x:v>
      </x:c>
      <x:c r="L7" s="73" t="str">
        <x:v>Each OEM component has exact Cascada fitment, but these three links are not a complete kit. Walnut blasting is a service, not a product substitute.</x:v>
      </x:c>
      <x:c r="M7" s="73" t="str">
        <x:v>Label every component as partial. Do not present a turbocharger, scanner, or a single timing component as the complete repair.</x:v>
      </x:c>
      <x:c r="N7" s="79" t="str">
        <x:v>REVIEW ONLY — NOT DEPLOYED</x:v>
      </x:c>
      <x:c r="O7" s="73" t="str"/>
    </x:row>
    <x:row r="8" ht="110" customHeight="1">
      <x:c r="A8" s="73" t="n">
        <x:v>4</x:v>
      </x:c>
      <x:c r="B8" s="73" t="str">
        <x:v>buick-enclave-6t70-6t75-transmission-wave-plate-failure</x:v>
      </x:c>
      <x:c r="C8" s="73" t="str">
        <x:v>2008-2012 | Buick | Enclave</x:v>
      </x:c>
      <x:c r="D8" s="73" t="str">
        <x:v>6T70/6T75 Transmission Wave Plate Failure</x:v>
      </x:c>
      <x:c r="E8" s="73" t="str">
        <x:v>Disassemble and rebuild the transmission with an updated/stronger wave plate, plus replace damaged hard parts and clean out debris; in severe cases a remanufactured unit is installed.</x:v>
      </x:c>
      <x:c r="F8" s="73" t="str">
        <x:v>Updated 3-5-R wave plate/drum repair; damaged hard parts; debris cleanout; possible remanufactured transmission</x:v>
      </x:c>
      <x:c r="G8" s="73" t="str">
        <x:v>SPECIALIST SERVICE / HOLD RETAIL CTA</x:v>
      </x:c>
      <x:c r="H8" s="73" t="str">
        <x:v>Sonnax 124555K 3-5-R drum saver kit</x:v>
      </x:c>
      <x:c r="I8" s="73" t="str">
        <x:v>https://www.sonnax.com/parts/4810-3-5-r-drum-saver-kit</x:v>
      </x:c>
      <x:c r="J8" s="73" t="str">
        <x:v>6T70/6T75 Gen 1/2; transmission identification required</x:v>
      </x:c>
      <x:c r="K8" s="73" t="str">
        <x:v>technical component reference</x:v>
      </x:c>
      <x:c r="L8" s="73" t="str">
        <x:v>The Sonnax kit addresses the wave-plate/drum failure but does not cover all hard-part damage, converter damage, labor, programming, or debris cleanout.</x:v>
      </x:c>
      <x:c r="M8" s="73" t="str">
        <x:v>Gate by transmission ID and diagnosis. Route to a transmission specialist; do not imply that buying one kit completes the rebuild.</x:v>
      </x:c>
      <x:c r="N8" s="79" t="str">
        <x:v>REVIEW ONLY — NOT DEPLOYED</x:v>
      </x:c>
      <x:c r="O8" s="73" t="str">
        <x:v>https://static.nhtsa.gov/odi/tsbs/2015/SB-10057637-4073.pdf
https://static.nhtsa.gov/odi/tsbs/2012/SB-10062512-7690.pdf</x:v>
      </x:c>
    </x:row>
    <x:row r="9" ht="110" customHeight="1">
      <x:c r="A9" s="73" t="n">
        <x:v>5</x:v>
      </x:c>
      <x:c r="B9" s="73" t="str">
        <x:v>buick-enclave-excessive-oil-consumption-engine-failure-3-6l</x:v>
      </x:c>
      <x:c r="C9" s="73" t="str">
        <x:v>2008-2010 | Buick | Enclave</x:v>
      </x:c>
      <x:c r="D9" s="73" t="str">
        <x:v>Excessive Oil Consumption / Engine Failure on 3.6L</x:v>
      </x:c>
      <x:c r="E9" s="73" t="str">
        <x:v>Diagnose per GM PIP5084; remedies range from PCV/oil-control updates to, in severe consumption or block-failure cases, engine replacement (around $6,500). Check oil frequently between changes as a stopgap.</x:v>
      </x:c>
      <x:c r="F9" s="73" t="str">
        <x:v>Diagnosis per GM PIP5084; PCV/oil-control updates if applicable; possible engine replacement</x:v>
      </x:c>
      <x:c r="G9" s="73" t="str">
        <x:v>DIAGNOSIS-FIRST HOLD</x:v>
      </x:c>
      <x:c r="H9" s="73" t="str">
        <x:v>Buick dealer locator</x:v>
      </x:c>
      <x:c r="I9" s="73" t="str">
        <x:v>https://www.buick.com/locate-buick-dealer</x:v>
      </x:c>
      <x:c r="J9" s="73" t="str">
        <x:v>2008-2010 Enclave; diagnosis and VIN-specific repair</x:v>
      </x:c>
      <x:c r="K9" s="73" t="str">
        <x:v>service locator</x:v>
      </x:c>
      <x:c r="L9" s="73" t="str">
        <x:v>The remedy ranges from updates to complete engine replacement. No single part can be recommended until the consumption/block failure is diagnosed.</x:v>
      </x:c>
      <x:c r="M9" s="73" t="str">
        <x:v>Keep commerce off until diagnosis identifies the failed component. A service/dealer locator is appropriate.</x:v>
      </x:c>
      <x:c r="N9" s="79" t="str">
        <x:v>REVIEW ONLY — NOT DEPLOYED</x:v>
      </x:c>
      <x:c r="O9" s="73" t="str"/>
    </x:row>
    <x:row r="10" ht="110" customHeight="1">
      <x:c r="A10" s="73" t="n">
        <x:v>6</x:v>
      </x:c>
      <x:c r="B10" s="73" t="str">
        <x:v>buick-enclave-hvac-blend-door-actuator-failure</x:v>
      </x:c>
      <x:c r="C10" s="73" t="str">
        <x:v>2008-2017 | Buick | Enclave</x:v>
      </x:c>
      <x:c r="D10" s="73" t="str">
        <x:v>HVAC Blend Door Actuator Failure</x:v>
      </x:c>
      <x:c r="E10" s="73" t="str">
        <x:v>Replace the failed blend-door actuator and recalibrate the HVAC system. Some actuators are easy to reach; others require significant dash disassembly, which drives up labor.</x:v>
      </x:c>
      <x:c r="F10" s="73" t="str">
        <x:v>Failed HVAC actuator at the diagnosed position; HVAC recalibration</x:v>
      </x:c>
      <x:c r="G10" s="73" t="str">
        <x:v>POSITION-SPECIFIC PARTIAL APPROVAL</x:v>
      </x:c>
      <x:c r="H10" s="73" t="str">
        <x:v>GM HVAC actuator 20826182 / ACDelco 15-73989
GM temperature-door actuator 22816196</x:v>
      </x:c>
      <x:c r="I10" s="73" t="str">
        <x:v>https://parts.gmparts.com/product/gm-genuine-parts-air-conditioning-actuator-20826182
https://www.gmpartsgiant.com/parts/gm-actuator-22816196.html</x:v>
      </x:c>
      <x:c r="J10" s="73" t="str">
        <x:v>2008-2013 Enclave; confirm actuator position by VIN
2013-2017 Enclave 3.6L; confirm actuator position by VIN</x:v>
      </x:c>
      <x:c r="K10" s="73" t="str">
        <x:v>position-specific part
position-specific part</x:v>
      </x:c>
      <x:c r="L10" s="73" t="str">
        <x:v>The Enclave has multiple HVAC actuators that are not interchangeable. The failed position must be diagnosed before purchase; recalibration remains a service step.</x:v>
      </x:c>
      <x:c r="M10" s="73" t="str">
        <x:v>Display a mandatory position/VIN check. Never label either actuator as fitting every HVAC-door location.</x:v>
      </x:c>
      <x:c r="N10" s="79" t="str">
        <x:v>REVIEW ONLY — NOT DEPLOYED</x:v>
      </x:c>
      <x:c r="O10" s="73" t="str">
        <x:v>https://www.dormanproducts.com/p-79235-604-924.aspx</x:v>
      </x:c>
    </x:row>
    <x:row r="11" ht="110" customHeight="1">
      <x:c r="A11" s="73" t="n">
        <x:v>7</x:v>
      </x:c>
      <x:c r="B11" s="73" t="str">
        <x:v>buick-enclave-loss-power-steering-assist</x:v>
      </x:c>
      <x:c r="C11" s="73" t="str">
        <x:v>2008-2011 | Buick | Enclave</x:v>
      </x:c>
      <x:c r="D11" s="73" t="str">
        <x:v>Loss of Power Steering Assist (Pump Wear)</x:v>
      </x:c>
      <x:c r="E11" s="73" t="str">
        <x:v>Replace the power steering pump (and inspect/replace fluid and lines). Covered under GM Special Coverage for 10yr/150k mi on affected vehicles; otherwise replace the pump out of pocket.</x:v>
      </x:c>
      <x:c r="F11" s="73" t="str">
        <x:v>Power-steering pump; inspect fluid and lines; Special Coverage eligibility check</x:v>
      </x:c>
      <x:c r="G11" s="73" t="str">
        <x:v>COVERAGE-FIRST + PARTIAL APPROVAL</x:v>
      </x:c>
      <x:c r="H11" s="73" t="str">
        <x:v>Buick recall/coverage lookup
A-Premium power-steering pump APPSP0062</x:v>
      </x:c>
      <x:c r="I11" s="73" t="str">
        <x:v>https://www.buick.com/ownercenter/recalls
https://a-premium.com/product/Power-Steering-Pump-for-2008-2017-Buick-Enclave-85Av08qeyw</x:v>
      </x:c>
      <x:c r="J11" s="73" t="str">
        <x:v>VIN required
2008-2011 issue scope; product lists 2008-2017 Enclave</x:v>
      </x:c>
      <x:c r="K11" s="73" t="str">
        <x:v>coverage check
pump only after coverage/diagnosis</x:v>
      </x:c>
      <x:c r="L11" s="73" t="str">
        <x:v>Coverage/VIN check comes before retail. The pump link does not include fluid, lines, steering gear work, or labor.</x:v>
      </x:c>
      <x:c r="M11" s="73" t="str">
        <x:v>Set recallFirst/coverage-first behavior and make the retail pump secondary.</x:v>
      </x:c>
      <x:c r="N11" s="79" t="str">
        <x:v>REVIEW ONLY — NOT DEPLOYED</x:v>
      </x:c>
      <x:c r="O11" s="73" t="str">
        <x:v>https://static.nhtsa.gov/odi/tsbs/2014/SB-10081074-0335.pdf</x:v>
      </x:c>
    </x:row>
    <x:row r="12" ht="110" customHeight="1">
      <x:c r="A12" s="73" t="n">
        <x:v>8</x:v>
      </x:c>
      <x:c r="B12" s="73" t="str">
        <x:v>buick-enclave-power-steering-recall</x:v>
      </x:c>
      <x:c r="C12" s="73" t="str">
        <x:v>2008-2011 | Buick | Enclave | CX, CXL, CXL-1, CXL-2 | all</x:v>
      </x:c>
      <x:c r="D12" s="73" t="str">
        <x:v>Enclave Power Steering Assist Loss — Special Coverage Adjustment 14329</x:v>
      </x:c>
      <x:c r="E12" s="73" t="str">
        <x:v>Confirm Special Coverage 14329 eligibility at any GM/Buick dealer with your VIN. If still within 10 years and 150,000 miles, remedy is free: dealer flushes power-steering system, replaces the PS pump, and installs a new steering-gear valve housing. If out of the coverage window, expect $700-$1,400 for the same job at an independent.</x:v>
      </x:c>
      <x:c r="F12" s="73" t="str">
        <x:v>VIN eligibility; dealer flush; pump; steering-gear valve housing as directed by Special Coverage 14329</x:v>
      </x:c>
      <x:c r="G12" s="73" t="str">
        <x:v>COVERAGE-FIRST / NO RETAIL CTA</x:v>
      </x:c>
      <x:c r="H12" s="73" t="str">
        <x:v>Buick recall/coverage lookup
NHTSA VIN recall lookup</x:v>
      </x:c>
      <x:c r="I12" s="73" t="str">
        <x:v>https://www.buick.com/ownercenter/recalls
https://www.nhtsa.gov/recalls</x:v>
      </x:c>
      <x:c r="J12" s="73" t="str">
        <x:v>2008-2011 Enclave; VIN required
VIN required; safety recalls only</x:v>
      </x:c>
      <x:c r="K12" s="73" t="str">
        <x:v>official coverage check
official recall lookup</x:v>
      </x:c>
      <x:c r="L12" s="73" t="str">
        <x:v>The How to Fix explicitly calls for VIN-based coverage and a multi-step dealer remedy. A generic pump link would omit the flush and valve-housing work.</x:v>
      </x:c>
      <x:c r="M12" s="73" t="str">
        <x:v>Use official coverage/dealer routing. Do not place a buy-parts CTA ahead of the VIN check.</x:v>
      </x:c>
      <x:c r="N12" s="79" t="str">
        <x:v>REVIEW ONLY — NOT DEPLOYED</x:v>
      </x:c>
      <x:c r="O12" s="73" t="str">
        <x:v>https://static.nhtsa.gov/odi/tsbs/2014/SB-10081074-0335.pdf</x:v>
      </x:c>
    </x:row>
    <x:row r="13" ht="110" customHeight="1">
      <x:c r="A13" s="73" t="n">
        <x:v>9</x:v>
      </x:c>
      <x:c r="B13" s="73" t="str">
        <x:v>buick-enclave-rear-c-evaporator-corrosion-refrigerant-leaks</x:v>
      </x:c>
      <x:c r="C13" s="73" t="str">
        <x:v>2013-2016 | Buick | Enclave</x:v>
      </x:c>
      <x:c r="D13" s="73" t="str">
        <x:v>Rear A/C Evaporator Corrosion &amp; Refrigerant Leaks</x:v>
      </x:c>
      <x:c r="E13" s="73" t="str">
        <x:v>Recover the refrigerant, replace the corroded rear evaporator (and rear blower motor if shedding debris) or the leaking line, then evacuate and recharge the system. Confirm leak source with dye/UV before recharging.</x:v>
      </x:c>
      <x:c r="F13" s="73" t="str">
        <x:v>Leak diagnosis with dye/UV; auxiliary evaporator or leaking line; rear blower if debris-damaged; refrigerant recover/evacuate/recharge</x:v>
      </x:c>
      <x:c r="G13" s="73" t="str">
        <x:v>DIAGNOSIS-GATED PARTIAL APPROVAL</x:v>
      </x:c>
      <x:c r="H13" s="73" t="str">
        <x:v>Genuine GM auxiliary A/C evaporator 84802280</x:v>
      </x:c>
      <x:c r="I13" s="73" t="str">
        <x:v>https://www.gmpartsgiant.com/parts/gm-evaporator-asm-aux-a-c-84802280.html</x:v>
      </x:c>
      <x:c r="J13" s="73" t="str">
        <x:v>2013-2016 issue scope; product lists 2008-2024 Enclave 3.6L</x:v>
      </x:c>
      <x:c r="K13" s="73" t="str">
        <x:v>only if auxiliary core leak is confirmed</x:v>
      </x:c>
      <x:c r="L13" s="73" t="str">
        <x:v>The TSB identifies auxiliary-evaporator corrosion, but the How to Fix also allows a line or blower failure. Refrigerant work requires proper recovery equipment.</x:v>
      </x:c>
      <x:c r="M13" s="73" t="str">
        <x:v>Require leak-source confirmation before showing the core as the repair. Do not reuse this link for a leaking line or blower failure.</x:v>
      </x:c>
      <x:c r="N13" s="79" t="str">
        <x:v>REVIEW ONLY — NOT DEPLOYED</x:v>
      </x:c>
      <x:c r="O13" s="73" t="str">
        <x:v>https://static.nhtsa.gov/odi/tsbs/2016/MC-10116900-9999.pdf</x:v>
      </x:c>
    </x:row>
    <x:row r="14" ht="110" customHeight="1">
      <x:c r="A14" s="73" t="n">
        <x:v>10</x:v>
      </x:c>
      <x:c r="B14" s="73" t="str">
        <x:v>buick-enclave-stretched-worn-timing-chain-3-6l-v6</x:v>
      </x:c>
      <x:c r="C14" s="73" t="str">
        <x:v>2008-2013 | Buick | Enclave</x:v>
      </x:c>
      <x:c r="D14" s="73" t="str">
        <x:v>Stretched/Worn Timing Chain on 3.6L V6</x:v>
      </x:c>
      <x:c r="E14" s="73" t="str">
        <x:v>Replace the timing chains, guides, and tensioners (a full front-of-engine job). If covered under GM Special Coverage #11340C the repair is free up to 10yr/120k mi; otherwise it is an out-of-pocket repair. Keeping oil changes current and using correct-spec oil slows wear.</x:v>
      </x:c>
      <x:c r="F14" s="73" t="str">
        <x:v>Complete timing chains, guides and tensioners; Special Coverage 11340C check; correct oil</x:v>
      </x:c>
      <x:c r="G14" s="73" t="str">
        <x:v>COVERAGE-FIRST + YEAR-SPLIT APPROVAL</x:v>
      </x:c>
      <x:c r="H14" s="73" t="str">
        <x:v>ACDelco timing-chain kit 12700436
Buick recall/coverage lookup</x:v>
      </x:c>
      <x:c r="I14" s="73" t="str">
        <x:v>https://www.partsgeek.com/vkz4by3-buick-enclave-timing-chain-kit.html
https://www.buick.com/ownercenter/recalls</x:v>
      </x:c>
      <x:c r="J14" s="73" t="str">
        <x:v>2009-2013 Enclave 3.6L LLT VIN D
VIN required</x:v>
      </x:c>
      <x:c r="K14" s="73" t="str">
        <x:v>complete kit for verified year/engine split
coverage check</x:v>
      </x:c>
      <x:c r="L14" s="73" t="str">
        <x:v>The ACDelco kit is verified for 2009-2013 LLT/VIN D. The 2008 LY7 application is different and remains held.</x:v>
      </x:c>
      <x:c r="M14" s="73" t="str">
        <x:v>Split 2008 LY7 from 2009-2013 LLT. Flag as overlapping/duplicative with buick-enclave-timing-chain-2008-2012.</x:v>
      </x:c>
      <x:c r="N14" s="79" t="str">
        <x:v>REVIEW ONLY — NOT DEPLOYED</x:v>
      </x:c>
      <x:c r="O14" s="73" t="str">
        <x:v>https://static.nhtsa.gov/odi/tsbs/2012/SB-10063069-7690.pdf
https://static.nhtsa.gov/odi/tsbs/2013/MC-10134650-9999.pdf</x:v>
      </x:c>
    </x:row>
    <x:row r="15" ht="110" customHeight="1">
      <x:c r="A15" s="73" t="n">
        <x:v>11</x:v>
      </x:c>
      <x:c r="B15" s="73" t="str">
        <x:v>buick-enclave-timing-chain-2008-2012</x:v>
      </x:c>
      <x:c r="C15" s="73" t="str">
        <x:v>2008-2012 | Buick | Enclave | CX, CXL, CXL-1, CXL-2, Premium | 3.6L LLT V6</x:v>
      </x:c>
      <x:c r="D15" s="73" t="str">
        <x:v>Enclave 3.6L LLT Timing Chain Stretch + Oil Consumption</x:v>
      </x:c>
      <x:c r="E15" s="73" t="str">
        <x:v>Timing chain replacement ($2,500-$4,500 with 3-row crossover labor premium). Walnut-blast intake valve carbon at the same time ($300-$500). PCV system update per TSB. Some owners refuse the chain job at this mileage and trade — failure can mean total engine replacement ($6,000+).</x:v>
      </x:c>
      <x:c r="F15" s="73" t="str">
        <x:v>Timing-chain repair; intake-valve walnut blast; PCV update; possible engine replacement</x:v>
      </x:c>
      <x:c r="G15" s="73" t="str">
        <x:v>CONTENT CORRECTION + PARTIAL APPROVAL</x:v>
      </x:c>
      <x:c r="H15" s="73" t="str">
        <x:v>ACDelco timing-chain kit 12700436</x:v>
      </x:c>
      <x:c r="I15" s="73" t="str">
        <x:v>https://www.partsgeek.com/vkz4by3-buick-enclave-timing-chain-kit.html</x:v>
      </x:c>
      <x:c r="J15" s="73" t="str">
        <x:v>2009-2012 Enclave 3.6L LLT VIN D</x:v>
      </x:c>
      <x:c r="K15" s="73" t="str">
        <x:v>timing repair only</x:v>
      </x:c>
      <x:c r="L15" s="73" t="str">
        <x:v>The product covers only the timing-chain portion. Walnut blasting and PCV updates are separate services, and 2008 is not an LLT application.</x:v>
      </x:c>
      <x:c r="M15" s="73" t="str">
        <x:v>Correct the 2008 engine designation (LY7, not LLT), hold its part link, and consolidate this duplicate with the broader timing-chain issue.</x:v>
      </x:c>
      <x:c r="N15" s="79" t="str">
        <x:v>REVIEW ONLY — NOT DEPLOYED</x:v>
      </x:c>
      <x:c r="O15" s="73" t="str">
        <x:v>https://static.nhtsa.gov/odi/tsbs/2013/MC-10134650-9999.pdf</x:v>
      </x:c>
    </x:row>
    <x:row r="16" ht="110" customHeight="1">
      <x:c r="A16" s="73" t="n">
        <x:v>12</x:v>
      </x:c>
      <x:c r="B16" s="73" t="str">
        <x:v>buick-enclave-torque-converter-clutch-shudder</x:v>
      </x:c>
      <x:c r="C16" s="73" t="str">
        <x:v>2014-2020 | Buick | Enclave</x:v>
      </x:c>
      <x:c r="D16" s="73" t="str">
        <x:v>Torque Converter Clutch (TCC) Shudder</x:v>
      </x:c>
      <x:c r="E16" s="73" t="str">
        <x:v>Per GM bulletin: flush and refill with the specified DEXRON-VI fluid (part 88862156) and reprogram the TCM with a fast-learn relearn. Persistent cases may require torque converter replacement.</x:v>
      </x:c>
      <x:c r="F16" s="73" t="str">
        <x:v>DEXRON-VI fluid exchange; TCM reprogram and fast-learn; possible torque converter</x:v>
      </x:c>
      <x:c r="G16" s="73" t="str">
        <x:v>FLUID APPROVAL + SERVICE GATE</x:v>
      </x:c>
      <x:c r="H16" s="73" t="str">
        <x:v>ACDelco GM OE DEXRON-VI full-synthetic ATF, 1 gallon, 88865618</x:v>
      </x:c>
      <x:c r="I16" s="73" t="str">
        <x:v>https://parts.buick.com/product/acdelco-gm-original-equipment-dexron-vi-full-synthetic-automatic-transmission-fluid-1-gal-88865618</x:v>
      </x:c>
      <x:c r="J16" s="73" t="str">
        <x:v>2014-2020 Enclave; confirm transmission and bulletin procedure</x:v>
      </x:c>
      <x:c r="K16" s="73" t="str">
        <x:v>specified fluid</x:v>
      </x:c>
      <x:c r="L16" s="73" t="str">
        <x:v>The fluid is verified for the full issue span. TCM programming/fast-learn and converter diagnosis are shop procedures, not replaced by the fluid link.</x:v>
      </x:c>
      <x:c r="M16" s="73" t="str">
        <x:v>Update obsolete/bulk part 88862156 to current retail GM package 88865618 while retaining the DEXRON-VI specification.</x:v>
      </x:c>
      <x:c r="N16" s="79" t="str">
        <x:v>REVIEW ONLY — NOT DEPLOYED</x:v>
      </x:c>
      <x:c r="O16" s="73" t="str">
        <x:v>https://static.nhtsa.gov/odi/tsbs/2018/MC-10187432-9999.pdf
https://static.nhtsa.gov/odi/tsbs/2021/MC-10201297-9999.pdf</x:v>
      </x:c>
    </x:row>
    <x:row r="17" ht="110" customHeight="1">
      <x:c r="A17" s="73" t="n">
        <x:v>13</x:v>
      </x:c>
      <x:c r="B17" s="73" t="str">
        <x:v>buick-enclave-water-pump-leak-coolant-loss-3-6l-v6</x:v>
      </x:c>
      <x:c r="C17" s="73" t="str">
        <x:v>2008-2017 | Buick | Enclave</x:v>
      </x:c>
      <x:c r="D17" s="73" t="str">
        <x:v>Water Pump Leak / Coolant Loss on 3.6L V6</x:v>
      </x:c>
      <x:c r="E17" s="73" t="str">
        <x:v>Replace the water pump (and thermostat/gasket as needed), then refill and bleed the cooling system. A relatively common, moderate-cost repair on these vehicles.</x:v>
      </x:c>
      <x:c r="F17" s="73" t="str">
        <x:v>Water pump and gasket; thermostat/gasket if diagnosed; coolant refill and bleed</x:v>
      </x:c>
      <x:c r="G17" s="73" t="str">
        <x:v>PART APPROVAL</x:v>
      </x:c>
      <x:c r="H17" s="73" t="str">
        <x:v>GM Genuine water-pump kit with gasket 12709178</x:v>
      </x:c>
      <x:c r="I17" s="73" t="str">
        <x:v>https://parts.buick.com/product/gm-genuine-parts-engine-water-pump-with-gasket-12709178</x:v>
      </x:c>
      <x:c r="J17" s="73" t="str">
        <x:v>2008-2017 Enclave issue scope; GM catalog includes these years</x:v>
      </x:c>
      <x:c r="K17" s="73" t="str">
        <x:v>primary repair part</x:v>
      </x:c>
      <x:c r="L17" s="73" t="str">
        <x:v>The GM product is an exact water-pump-with-gasket repair part for the issue span. Thermostat replacement remains conditional.</x:v>
      </x:c>
      <x:c r="M17" s="73" t="str">
        <x:v>Keep thermostat/gasket as 'as needed' and include the cooling-system bleed step; do not imply the pump covers every coolant leak.</x:v>
      </x:c>
      <x:c r="N17" s="79" t="str">
        <x:v>REVIEW ONLY — NOT DEPLOYED</x:v>
      </x:c>
      <x:c r="O17" s="73" t="str">
        <x:v>https://www.gmpartsgiant.com/oem-buick-enclave-water_pump.html</x:v>
      </x:c>
    </x:row>
    <x:row r="18" ht="110" customHeight="1">
      <x:c r="A18" s="73" t="n">
        <x:v>14</x:v>
      </x:c>
      <x:c r="B18" s="73" t="str">
        <x:v>buick-encore-1.4-turbo-timing-chain</x:v>
      </x:c>
      <x:c r="C18" s="73" t="str">
        <x:v>2013-2022 | Buick | Encore | Base, Convenience, Leather, Premium, Sport Touring, Preferred, Essence | 1.4L Turbo LUJ/LUV</x:v>
      </x:c>
      <x:c r="D18" s="73" t="str">
        <x:v>Encore 1.4L Turbo (LUJ/LUV) Timing Chain Stretch</x:v>
      </x:c>
      <x:c r="E18" s="73" t="str">
        <x:v>Full chain kit including chain, tensioner, guides, sprockets ($1,200-$2,000). Use dexos1 full-synthetic 5W-30 and stick to 5,000-mile intervals — extended OLM intervals are the dominant cause. Catastrophic chain skip means head rebuild ($3,500+).</x:v>
      </x:c>
      <x:c r="F18" s="73" t="str">
        <x:v>Timing chain, tensioner, guides and sprockets; dexos1 5W-30 maintenance</x:v>
      </x:c>
      <x:c r="G18" s="73" t="str">
        <x:v>YEAR-SPLIT PARTIAL APPROVAL</x:v>
      </x:c>
      <x:c r="H18" s="73" t="str">
        <x:v>Cloyes 9-4311S timing-chain kit</x:v>
      </x:c>
      <x:c r="I18" s="73" t="str">
        <x:v>https://frsport.com/products/cloyes-kit-timing-w-sprockets-9-4311s</x:v>
      </x:c>
      <x:c r="J18" s="73" t="str">
        <x:v>2013-2021 Encore 1.4L; verify VIN/engine</x:v>
      </x:c>
      <x:c r="K18" s="73" t="str">
        <x:v>timing kit</x:v>
      </x:c>
      <x:c r="L18" s="73" t="str">
        <x:v>The kit has verified 2013-2021 1.4L fitment; the issue's 2022 model year remains unverified for this exact product.</x:v>
      </x:c>
      <x:c r="M18" s="73" t="str">
        <x:v>Hold 2022 rather than stretching the product fitment. Confirm kit contents before claiming every sprocket/guide is included.</x:v>
      </x:c>
      <x:c r="N18" s="79" t="str">
        <x:v>REVIEW ONLY — NOT DEPLOYED</x:v>
      </x:c>
      <x:c r="O18" s="73" t="str">
        <x:v>https://www.oreillyauto.com/shop/b/engines---transmissions/timing-parts/timing-set/timing-chain-kit/9438d0f2adb0/v/a/127968/automotive-truck-2013-buick-encore
https://cobaltindustrial.ca/products/cloyes-gear-product-9-4311s-timing-chain-kit-engine-timing-chain-kit</x:v>
      </x:c>
    </x:row>
    <x:row r="19" ht="110" customHeight="1">
      <x:c r="A19" s="74" t="n">
        <x:v>15</x:v>
      </x:c>
      <x:c r="B19" s="74" t="str">
        <x:v>buick-encore-6t40-automatic-transmission-hard-shifting-shudder-slipping</x:v>
      </x:c>
      <x:c r="C19" s="74" t="str">
        <x:v>2013-2018 | Buick | Encore</x:v>
      </x:c>
      <x:c r="D19" s="74" t="str">
        <x:v>6T40 Automatic Transmission Hard Shifting, Shudder and Slipping</x:v>
      </x:c>
      <x:c r="E19" s="74" t="str">
        <x:v>Service the transmission with the correct fluid; for shudder, a torque-converter clutch fluid/flush or solenoid replacement may help. Persistent 2-6 slip/flare typically requires valve body/channel-plate cleaning or rebuild. Confirm GM software calibration is current, as updated shift logic addressed some complaints.</x:v>
      </x:c>
      <x:c r="F19" s="74" t="str">
        <x:v>Correct DEXRON-VI fluid service; possible TCC/solenoid; valve body/channel plate; rebuild; software calibration</x:v>
      </x:c>
      <x:c r="G19" s="74" t="str">
        <x:v>FLUID APPROVAL + DIAGNOSIS-FIRST HOLD</x:v>
      </x:c>
      <x:c r="H19" s="74" t="str">
        <x:v>ACDelco GM OE DEXRON-VI ATF, 1 quart, 88865601</x:v>
      </x:c>
      <x:c r="I19" s="74" t="str">
        <x:v>https://parts.buick.com/product/acdelco-gm-original-equipment-dexron-vi-automatic-transmission-fluid-1-qt-88865601</x:v>
      </x:c>
      <x:c r="J19" s="74" t="str">
        <x:v>2013-2018 Encore issue scope; official catalog lists 2013-2022</x:v>
      </x:c>
      <x:c r="K19" s="74" t="str">
        <x:v>fluid service only</x:v>
      </x:c>
      <x:c r="L19" s="74" t="str">
        <x:v>DEXRON-VI is verified, but the remaining fixes depend on whether the fault is converter, solenoid/TEHCM, valve body, calibration, or internal damage.</x:v>
      </x:c>
      <x:c r="M19" s="74" t="str">
        <x:v>Do not link a solenoid, TEHCM, scanner, or rebuild kit until diagnosis identifies that repair. The fluid link is not a promise that service cures slipping.</x:v>
      </x:c>
      <x:c r="N19" s="80" t="str">
        <x:v>REVIEW ONLY — NOT DEPLOYED</x:v>
      </x:c>
      <x:c r="O19" s="74" t="str">
        <x:v>https://static.nhtsa.gov/odi/tsbs/2013/MC-10139032-9999.pdf
https://static.nhtsa.gov/odi/tsbs/2016/MC-10112296-9999.pdf</x:v>
      </x:c>
    </x:row>
  </x:sheetData>
  <x:mergeCells>
    <x:mergeCell ref="A1:O1"/>
    <x:mergeCell ref="A2:O2"/>
  </x:mergeCells>
  <x:conditionalFormatting sqref="G5:G19">
    <x:cfRule type="containsText" dxfId="0" priority="1" operator="containsText" text="HOLD"/>
    <x:cfRule type="containsText" dxfId="1" priority="2" operator="containsText" text="APPROVAL"/>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38" hidden="0" customWidth="1"/>
    <x:col min="3" max="3" width="42" hidden="0" customWidth="1"/>
    <x:col min="4" max="4" width="38" hidden="0" customWidth="1"/>
    <x:col min="5" max="5" width="58" hidden="0" customWidth="1"/>
    <x:col min="6" max="6" width="62" hidden="0" customWidth="1"/>
    <x:col min="7" max="7" width="36" hidden="0" customWidth="1"/>
    <x:col min="8" max="8" width="22" hidden="0" customWidth="1"/>
    <x:col min="9" max="9" width="14" hidden="0" customWidth="1"/>
    <x:col min="10" max="10" width="34" hidden="0" customWidth="1"/>
    <x:col min="11" max="11" width="50" hidden="0" customWidth="1"/>
    <x:col min="12" max="12" width="22" hidden="0" customWidth="1"/>
    <x:col min="13" max="13" width="42" hidden="0" customWidth="1"/>
  </x:cols>
  <x:sheetData>
    <x:row r="1" ht="34" customHeight="1">
      <x:c r="A1" s="54" t="str">
        <x:v>55 Buick Known Issues With No Existing Links</x:v>
      </x:c>
      <x:c r="B1" s="54"/>
      <x:c r="C1" s="54"/>
      <x:c r="D1" s="54"/>
      <x:c r="E1" s="54"/>
      <x:c r="F1" s="54"/>
      <x:c r="G1" s="54"/>
      <x:c r="H1" s="54"/>
      <x:c r="I1" s="54"/>
      <x:c r="J1" s="54"/>
      <x:c r="K1" s="54"/>
      <x:c r="L1" s="54"/>
      <x:c r="M1" s="54"/>
    </x:row>
    <x:row r="2" ht="42" customHeight="1">
      <x:c r="A2" s="81" t="str">
        <x:v>These issues have not failed the fitment process. They are the untouched queue: read the full How to Fix, extract exact repair items, then search and verify product/service pages.</x:v>
      </x:c>
      <x:c r="B2" s="81"/>
      <x:c r="C2" s="81"/>
      <x:c r="D2" s="81"/>
      <x:c r="E2" s="81"/>
      <x:c r="F2" s="81"/>
      <x:c r="G2" s="81"/>
      <x:c r="H2" s="81"/>
      <x:c r="I2" s="81"/>
      <x:c r="J2" s="81"/>
      <x:c r="K2" s="81"/>
      <x:c r="L2" s="81"/>
      <x:c r="M2" s="81"/>
    </x:row>
    <x:row r="4" ht="42" customHeight="1">
      <x:c r="A4" s="62" t="str">
        <x:v>#</x:v>
      </x:c>
      <x:c r="B4" s="63" t="str">
        <x:v>Issue ID</x:v>
      </x:c>
      <x:c r="C4" s="63" t="str">
        <x:v>YMMT</x:v>
      </x:c>
      <x:c r="D4" s="63" t="str">
        <x:v>Known Issue</x:v>
      </x:c>
      <x:c r="E4" s="63" t="str">
        <x:v>Description / Context</x:v>
      </x:c>
      <x:c r="F4" s="63" t="str">
        <x:v>How to Fix (full)</x:v>
      </x:c>
      <x:c r="G4" s="63" t="str">
        <x:v>Symptoms</x:v>
      </x:c>
      <x:c r="H4" s="63" t="str">
        <x:v>DTC Codes</x:v>
      </x:c>
      <x:c r="I4" s="63" t="str">
        <x:v>Existing Link Count</x:v>
      </x:c>
      <x:c r="J4" s="63" t="str">
        <x:v>Repair Items to Extract</x:v>
      </x:c>
      <x:c r="K4" s="63" t="str">
        <x:v>Candidate URL(s)</x:v>
      </x:c>
      <x:c r="L4" s="63" t="str">
        <x:v>Reviewer Status</x:v>
      </x:c>
      <x:c r="M4" s="64" t="str">
        <x:v>Reviewer Notes</x:v>
      </x:c>
    </x:row>
    <x:row r="5" ht="115" customHeight="1">
      <x:c r="A5" s="72" t="n">
        <x:v>1</x:v>
      </x:c>
      <x:c r="B5" s="72" t="str">
        <x:v>buick-encore-encore-gx-three-cylinder-turbo-stalling-low-oil-pressure-ecm</x:v>
      </x:c>
      <x:c r="C5" s="72" t="str">
        <x:v>2020-2023 | Buick | Encore</x:v>
      </x:c>
      <x:c r="D5" s="72" t="str">
        <x:v>Encore GX (2020+) Three-Cylinder Turbo Stalling and Low-Oil-Pressure ECM Recall</x:v>
      </x:c>
      <x:c r="E5" s="72" t="str">
        <x:v>The second-generation Encore GX uses 1.2L and 1.3L turbocharged three-cylinder engines and has drawn complaints of reduced engine power, stalling, and lurching. GM issued a recall in which the engine control module (ECM) could fail to clear the permanent status of DTC P0521 (engine oil pressure sensor performance), masking a real low-oil-pressure condition; the remedy is an ECM reprogram. Owners also report elevated oil consumption on these small turbo engines.</x:v>
      </x:c>
      <x:c r="F5" s="72" t="str">
        <x:v>Have the ECM reprogrammed under the GM recall to ensure low-oil-pressure conditions (P0521) are properly flagged. Diagnose stalling/power-loss with a scan tool. Monitor oil level frequently given the small-displacement turbo's sensitivity to low oil.</x:v>
      </x:c>
      <x:c r="G5" s="72" t="str">
        <x:v>Reduced engine power
Engine stalling
Lurching / jolting
Oil pressure warning not displaying
Elevated oil consumption</x:v>
      </x:c>
      <x:c r="H5" s="72" t="str">
        <x:v>P0521</x:v>
      </x:c>
      <x:c r="I5" s="88" t="n">
        <x:v>0</x:v>
      </x:c>
      <x:c r="J5" s="91" t="str">
        <x:v>PENDING — read full How to Fix</x:v>
      </x:c>
      <x:c r="K5" s="72" t="str"/>
      <x:c r="L5" s="72" t="str">
        <x:v>Needs review</x:v>
      </x:c>
      <x:c r="M5" s="72" t="str"/>
    </x:row>
    <x:row r="6" ht="115" customHeight="1">
      <x:c r="A6" s="73" t="n">
        <x:v>2</x:v>
      </x:c>
      <x:c r="B6" s="73" t="str">
        <x:v>buick-encore-encore-gx-transmission-shudder-jerking-solenoid-faults</x:v>
      </x:c>
      <x:c r="C6" s="73" t="str">
        <x:v>2020-2023 | Buick | Encore</x:v>
      </x:c>
      <x:c r="D6" s="73" t="str">
        <x:v>Encore GX Transmission Shudder, Jerking and Solenoid Faults</x:v>
      </x:c>
      <x:c r="E6" s="73" t="str">
        <x:v>The Encore GX has frequent transmission complaints of shuddering, slipping, jerking, and lurching during acceleration, especially in 2021-2023 model years. Causes documented by owners and GM bulletins include defective shift solenoids producing erratic or rough shifts and failing torque converters causing shudder; some 2021 units required full transmission replacement. A separate GM fix addresses out-of-spec clutch retaining rings on certain later units.</x:v>
      </x:c>
      <x:c r="F6" s="73" t="str">
        <x:v>Diagnose with a scan tool for solenoid and torque-converter fault codes. Repairs range from shift-solenoid replacement and a torque-converter clutch service to torque converter or full transmission replacement in severe cases. Check for applicable GM service bulletins and lemon-law/warranty coverage on repeat failures.</x:v>
      </x:c>
      <x:c r="G6" s="73" t="str">
        <x:v>Shuddering / shaking on acceleration
Jerking and lurching while driving
Slipping or hesitation
Rough or erratic shifting
Failure to engage correct gear</x:v>
      </x:c>
      <x:c r="H6" s="73" t="str"/>
      <x:c r="I6" s="89" t="n">
        <x:v>0</x:v>
      </x:c>
      <x:c r="J6" s="92" t="str">
        <x:v>PENDING — read full How to Fix</x:v>
      </x:c>
      <x:c r="K6" s="73" t="str"/>
      <x:c r="L6" s="73" t="str">
        <x:v>Needs review</x:v>
      </x:c>
      <x:c r="M6" s="73" t="str"/>
    </x:row>
    <x:row r="7" ht="115" customHeight="1">
      <x:c r="A7" s="73" t="n">
        <x:v>3</x:v>
      </x:c>
      <x:c r="B7" s="73" t="str">
        <x:v>buick-encore-engine-stalling-sudden-power-loss-while-driving</x:v>
      </x:c>
      <x:c r="C7" s="73" t="str">
        <x:v>2013-2015 | Buick | Encore</x:v>
      </x:c>
      <x:c r="D7" s="73" t="str">
        <x:v>Engine Stalling and Sudden Power Loss While Driving (Early Models)</x:v>
      </x:c>
      <x:c r="E7" s="73" t="str">
        <x:v>The 2013-2015 Encore generated hundreds of NHTSA complaints for engine stalling and abrupt loss of power, including incidents at highway speed where the vehicle decelerated unexpectedly. Owners report rough idle, hesitation, misfires, and the "engine power reduced" message, often traced to sensor faults, throttle body issues, or turbo-related underboost. Multiple reports note the problem recurring even after throttle body or sensor replacement, creating a serious safety hazard in traffic.</x:v>
      </x:c>
      <x:c r="F7" s="73" t="str">
        <x:v>Diagnose with a scan tool to isolate the trigger (camshaft/crankshaft position sensors, throttle body, turbo underboost, or misfire). Common repairs include throttle body replacement, sensor replacement, and addressing the turbo/PCV issues above. Apply current GM software updates, as some driveability concerns were addressed via ECM reprogramming.</x:v>
      </x:c>
      <x:c r="G7" s="73" t="str">
        <x:v>Stalling while driving
Sudden deceleration at highway speed
Engine power reduced message
Rough idle
Hesitation / misfire
Shaking</x:v>
      </x:c>
      <x:c r="H7" s="73" t="str">
        <x:v>P0300, P0017</x:v>
      </x:c>
      <x:c r="I7" s="89" t="n">
        <x:v>0</x:v>
      </x:c>
      <x:c r="J7" s="92" t="str">
        <x:v>PENDING — read full How to Fix</x:v>
      </x:c>
      <x:c r="K7" s="73" t="str"/>
      <x:c r="L7" s="73" t="str">
        <x:v>Needs review</x:v>
      </x:c>
      <x:c r="M7" s="73" t="str"/>
    </x:row>
    <x:row r="8" ht="115" customHeight="1">
      <x:c r="A8" s="73" t="n">
        <x:v>4</x:v>
      </x:c>
      <x:c r="B8" s="73" t="str">
        <x:v>buick-encore-evap-purge-pump-failure-warranty-extension</x:v>
      </x:c>
      <x:c r="C8" s="73" t="str">
        <x:v>2022-2022 | Buick | Encore</x:v>
      </x:c>
      <x:c r="D8" s="73" t="str">
        <x:v>EVAP Purge Pump Failure (2022 Encore) - Warranty Extension</x:v>
      </x:c>
      <x:c r="E8" s="73" t="str">
        <x:v>Certain 2022 Buick Encore (and 2022-2023 Envision) models can experience evaporative-emissions purge pump failures that trigger a check engine light, cause emissions-test failures, reduce fuel efficiency, and may create driveability concerns. GM issued a special coverage adjustment extending warranty on the purge pump, reportedly up to 15 years / 150,000 miles, with reimbursement for owners who previously paid for the repair.</x:v>
      </x:c>
      <x:c r="F8" s="73" t="str">
        <x:v>Replace the EVAP purge pump under GM's special coverage / warranty extension (up to 15 yr / 150,000 mi). Owners who already paid out of pocket may be eligible for reimbursement. Confirm exact eligibility and codes with a GM dealer.</x:v>
      </x:c>
      <x:c r="G8" s="73" t="str">
        <x:v>Check engine light
Failed emissions / smog test
Reduced fuel economy
Minor driveability concerns</x:v>
      </x:c>
      <x:c r="H8" s="73" t="str"/>
      <x:c r="I8" s="89" t="n">
        <x:v>0</x:v>
      </x:c>
      <x:c r="J8" s="92" t="str">
        <x:v>PENDING — read full How to Fix</x:v>
      </x:c>
      <x:c r="K8" s="73" t="str"/>
      <x:c r="L8" s="73" t="str">
        <x:v>Needs review</x:v>
      </x:c>
      <x:c r="M8" s="73" t="str"/>
    </x:row>
    <x:row r="9" ht="115" customHeight="1">
      <x:c r="A9" s="73" t="n">
        <x:v>5</x:v>
      </x:c>
      <x:c r="B9" s="73" t="str">
        <x:v>buick-encore-excessive-oil-consumption</x:v>
      </x:c>
      <x:c r="C9" s="73" t="str">
        <x:v>2013-2021 | Buick | Encore</x:v>
      </x:c>
      <x:c r="D9" s="73" t="str">
        <x:v>Excessive Oil Consumption (1.4L Turbo)</x:v>
      </x:c>
      <x:c r="E9" s="73" t="str">
        <x:v>Many owners of the 1.4L turbo Encore report the engine consuming oil at an elevated rate between changes, often without an obvious external leak. Low oil levels left unchecked can starve the turbocharger and accelerate engine wear. Consumption is frequently linked to PCV system failure forcing oil through the intake, and to general wear in the LUV/LUJ engine family.</x:v>
      </x:c>
      <x:c r="F9" s="73" t="str">
        <x:v>Check oil level frequently between changes and top off as needed. Diagnose and repair the PCV/camshaft cover system, which is a common contributor. Perform a documented oil-consumption test at a dealer; persistent high consumption may require valve cover, PCV, or piston ring/seal service.</x:v>
      </x:c>
      <x:c r="G9" s="73" t="str">
        <x:v>Low oil between changes
Oil light or low oil warning
Burning oil smell
Blue exhaust smoke
Frequent need to add oil</x:v>
      </x:c>
      <x:c r="H9" s="73" t="str"/>
      <x:c r="I9" s="89" t="n">
        <x:v>0</x:v>
      </x:c>
      <x:c r="J9" s="92" t="str">
        <x:v>PENDING — read full How to Fix</x:v>
      </x:c>
      <x:c r="K9" s="73" t="str"/>
      <x:c r="L9" s="73" t="str">
        <x:v>Needs review</x:v>
      </x:c>
      <x:c r="M9" s="73" t="str"/>
    </x:row>
    <x:row r="10" ht="115" customHeight="1">
      <x:c r="A10" s="73" t="n">
        <x:v>6</x:v>
      </x:c>
      <x:c r="B10" s="73" t="str">
        <x:v>buick-encore-gx-1.2-1.3-turbo-shudder</x:v>
      </x:c>
      <x:c r="C10" s="73" t="str">
        <x:v>2020-2024 | Buick | Encore GX | Preferred, Select, Essence, Sport Touring, Avenir | 1.2L Turbo, 1.3L Turbo</x:v>
      </x:c>
      <x:c r="D10" s="73" t="str">
        <x:v>Encore GX CVT / 9-Speed Hesitation and Shudder</x:v>
      </x:c>
      <x:c r="E10" s="73" t="str">
        <x:v>The 2020+ Encore GX uses either the VT40 CVT (FWD 1.2L) or the GM 9T50 9-speed (AWD 1.3L). Both have reported issues: CVT hesitates from a stop, jerks on tip-in, and growls. 9-speed has been the subject of multiple TSBs covering harsh shifts, flares, and torque converter shudder.</x:v>
      </x:c>
      <x:c r="F10" s="73" t="str">
        <x:v>CVT: software update via dealer (TSB 21-NA-141 and successors). 9-speed: ATF flush + reprogramming if persistent shudder; valve body or torque converter if not resolved. Many fixes were under GM's "PI" (Product Investigation) bulletins — check for active campaigns on your VIN.</x:v>
      </x:c>
      <x:c r="G10" s="73" t="str">
        <x:v>hesitation from stop
jerk on tip-in
shudder at light throttle
harsh shifts</x:v>
      </x:c>
      <x:c r="H10" s="73" t="str">
        <x:v>P0741, P0700</x:v>
      </x:c>
      <x:c r="I10" s="89" t="n">
        <x:v>0</x:v>
      </x:c>
      <x:c r="J10" s="92" t="str">
        <x:v>PENDING — read full How to Fix</x:v>
      </x:c>
      <x:c r="K10" s="73" t="str"/>
      <x:c r="L10" s="73" t="str">
        <x:v>Needs review</x:v>
      </x:c>
      <x:c r="M10" s="73" t="str"/>
    </x:row>
    <x:row r="11" ht="115" customHeight="1">
      <x:c r="A11" s="73" t="n">
        <x:v>7</x:v>
      </x:c>
      <x:c r="B11" s="73" t="str">
        <x:v>buick-encore-gx-ecm-ignition-timing-fault-causing-engine-knock-after-auto-st</x:v>
      </x:c>
      <x:c r="C11" s="73" t="str">
        <x:v>2024-2024 | Buick | Encore GX</x:v>
      </x:c>
      <x:c r="D11" s="73" t="str">
        <x:v>ECM Ignition Timing Fault Causing Engine Knock After Auto Stop/Start (Recall A242435780)</x:v>
      </x:c>
      <x:c r="E11" s="73" t="str">
        <x:v>On 2024 Encore GX models with the 1.2L turbo engine, the engine control module may not properly control ignition timing following certain Auto Engine Stop/Start events. This can illuminate the check engine light and cause the engine to run rough or knock; continued driving with engine knock can lead to internal engine damage. GM issued a voluntary emissions recall (program number A242435780, NHTSA 11006392), also covering 2024 Trailblazer and Trax with the 1.2L engine.</x:v>
      </x:c>
      <x:c r="F11" s="73" t="str">
        <x:v>Covered under GM recall A242435780 (NHTSA 11006392) - the dealer reprograms the engine control module free of charge (no parts required). Owners noticing knock or a check engine light after stop/start cycles should have the ECM reflashed promptly to avoid engine damage.</x:v>
      </x:c>
      <x:c r="G11" s="73" t="str">
        <x:v>Engine knock or rough running after auto stop/start
Check engine light / malfunction indicator lamp
Audible knocking under load
Potential engine damage if driven with persistent knock</x:v>
      </x:c>
      <x:c r="H11" s="73" t="str"/>
      <x:c r="I11" s="89" t="n">
        <x:v>0</x:v>
      </x:c>
      <x:c r="J11" s="92" t="str">
        <x:v>PENDING — read full How to Fix</x:v>
      </x:c>
      <x:c r="K11" s="73" t="str"/>
      <x:c r="L11" s="73" t="str">
        <x:v>Needs review</x:v>
      </x:c>
      <x:c r="M11" s="73" t="str"/>
    </x:row>
    <x:row r="12" ht="115" customHeight="1">
      <x:c r="A12" s="73" t="n">
        <x:v>8</x:v>
      </x:c>
      <x:c r="B12" s="73" t="str">
        <x:v>buick-encore-gx-electronic-brake-boost-sensor-connection-failure-loss-power</x:v>
      </x:c>
      <x:c r="C12" s="73" t="str">
        <x:v>2020-2021 | Buick | Encore GX</x:v>
      </x:c>
      <x:c r="D12" s="73" t="str">
        <x:v>Electronic Brake Boost Sensor Connection Failure - Loss of Power Assist (Recall 20V588)</x:v>
      </x:c>
      <x:c r="E12" s="73" t="str">
        <x:v>On 2020-2021 Encore GX models, contaminated material in a sensor connection of the electronic brake boost system can interrupt communication between the sensor and the brake boost module, causing a loss of electronic brake assist. Drivers report a hard brake pedal requiring much greater pedal force and longer stopping distances. GM issued recall 20V588 (GM program number A202307262) to replace the electronic brake boost module.</x:v>
      </x:c>
      <x:c r="F12" s="73" t="str">
        <x:v>Covered under NHTSA recall 20V588 (GM A202307262) - the dealer replaces the electronic brake boost module free of charge. Owners with a hard brake pedal or brake-assist warning should verify recall completion via VIN at nhtsa.gov and have the module replaced.</x:v>
      </x:c>
      <x:c r="G12" s="73" t="str">
        <x:v>Hard or stiff brake pedal requiring extra force
Longer stopping distances
Brake assist / service brake warning light
Reduced or lost power-assisted braking</x:v>
      </x:c>
      <x:c r="H12" s="73" t="str"/>
      <x:c r="I12" s="89" t="n">
        <x:v>0</x:v>
      </x:c>
      <x:c r="J12" s="92" t="str">
        <x:v>PENDING — read full How to Fix</x:v>
      </x:c>
      <x:c r="K12" s="73" t="str"/>
      <x:c r="L12" s="73" t="str">
        <x:v>Needs review</x:v>
      </x:c>
      <x:c r="M12" s="73" t="str"/>
    </x:row>
    <x:row r="13" ht="115" customHeight="1">
      <x:c r="A13" s="73" t="n">
        <x:v>9</x:v>
      </x:c>
      <x:c r="B13" s="73" t="str">
        <x:v>buick-encore-gx-false-shift-to-park-warning-park-switch-failure</x:v>
      </x:c>
      <x:c r="C13" s="73" t="str">
        <x:v>2020-2023 | Buick | Encore GX</x:v>
      </x:c>
      <x:c r="D13" s="73" t="str">
        <x:v>False "Shift to Park" Warning / Park Switch Failure (TSB 23-NA-119)</x:v>
      </x:c>
      <x:c r="E13" s="73" t="str">
        <x:v>A widely reported defect across 2020-2023 Encore GX vehicles is a false "Shift to Park" message that appears even when the vehicle is already in Park, caused by a faulty park switch inside the shifter assembly with spread or damaged electrical terminals. The fault can keep the vehicle in accessory mode, prevent a clean shutdown, and drain the battery. GM addressed it with TSB 23-NA-119 (also covering Chevrolet Trailblazer and Malibu), and owners have filed class-action litigation seeking a recall.</x:v>
      </x:c>
      <x:c r="F13" s="73" t="str">
        <x:v>Per GM TSB 23-NA-119, the fix is inspecting the park-switch terminals and, if no harness damage is found, replacing the shifter control assembly. Confirm a clean shutdown afterward to prevent parasitic battery drain. Repair may be covered under bumper-to-bumper warranty.</x:v>
      </x:c>
      <x:c r="G13" s="73" t="str">
        <x:v>"Shift to Park" message displayed while already in Park
Vehicle won't fully shut off / stays in accessory mode
Dead or drained battery
Intermittent no-start or stalling</x:v>
      </x:c>
      <x:c r="H13" s="73" t="str"/>
      <x:c r="I13" s="89" t="n">
        <x:v>0</x:v>
      </x:c>
      <x:c r="J13" s="92" t="str">
        <x:v>PENDING — read full How to Fix</x:v>
      </x:c>
      <x:c r="K13" s="73" t="str"/>
      <x:c r="L13" s="73" t="str">
        <x:v>Needs review</x:v>
      </x:c>
      <x:c r="M13" s="73" t="str"/>
    </x:row>
    <x:row r="14" ht="115" customHeight="1">
      <x:c r="A14" s="73" t="n">
        <x:v>10</x:v>
      </x:c>
      <x:c r="B14" s="73" t="str">
        <x:v>buick-encore-gx-incorrect-catalytic-converter-installed-factory</x:v>
      </x:c>
      <x:c r="C14" s="73" t="str">
        <x:v>2020-2023 | Buick | Encore GX</x:v>
      </x:c>
      <x:c r="D14" s="73" t="str">
        <x:v>Incorrect Catalytic Converter Installed at Factory (Emissions Recall A202317281)</x:v>
      </x:c>
      <x:c r="E14" s="73" t="str">
        <x:v>Certain Encore GX vehicles with the turbocharged 1.2L (RPO LIH) engine left the factory with an incorrect catalytic converter that does not meet all emission system requirements, so the converter may not properly process exhaust gases. GM emissions recall A202317281 (NHTSA 10197318) covered 2020 Encore GX (paired with 2021 Chevrolet Trailblazer), and a separate later recall covered 2023 Encore GX units with the same wrong-converter problem. Affected vehicles can fail emissions testing.</x:v>
      </x:c>
      <x:c r="F14" s="73" t="str">
        <x:v>Covered under GM emissions recall A202317281 (NHTSA 10197318) - dealers inspect the catalytic converter and replace it with the correct part (e.g. P/N 55515139) at no charge if the wrong unit was installed. Verify eligibility by VIN at nhtsa.gov.</x:v>
      </x:c>
      <x:c r="G14" s="73" t="str">
        <x:v>Check engine light / catalyst efficiency code
Failed state emissions inspection
Incorrect catalytic converter part number on inspection</x:v>
      </x:c>
      <x:c r="H14" s="73" t="str">
        <x:v>P0420</x:v>
      </x:c>
      <x:c r="I14" s="89" t="n">
        <x:v>0</x:v>
      </x:c>
      <x:c r="J14" s="92" t="str">
        <x:v>PENDING — read full How to Fix</x:v>
      </x:c>
      <x:c r="K14" s="73" t="str"/>
      <x:c r="L14" s="73" t="str">
        <x:v>Needs review</x:v>
      </x:c>
      <x:c r="M14" s="73" t="str"/>
    </x:row>
    <x:row r="15" ht="115" customHeight="1">
      <x:c r="A15" s="73" t="n">
        <x:v>11</x:v>
      </x:c>
      <x:c r="B15" s="73" t="str">
        <x:v>buick-encore-gx-instrument-panel-display-goes-blank-while-driving</x:v>
      </x:c>
      <x:c r="C15" s="73" t="str">
        <x:v>2024-2024 | Buick | Encore GX</x:v>
      </x:c>
      <x:c r="D15" s="73" t="str">
        <x:v>Instrument Panel Display Goes Blank While Driving (Recall 23V744 - VCU Software)</x:v>
      </x:c>
      <x:c r="E15" s="73" t="str">
        <x:v>On 2024 Encore GX models, a software fault in the Virtual Cockpit Unit (VCU) Module can cause the digital instrument panel to intermittently go blank at startup or while driving. A blank cluster fails to show speed, warning lights, and other critical information, increasing crash risk. GM recalled the Encore GX along with the Buick Envista and Chevrolet Trax (recall 23V744, GM program number A232424320), covering more than 60,000 vehicles.</x:v>
      </x:c>
      <x:c r="F15" s="73" t="str">
        <x:v>Covered under NHTSA recall 23V744 (GM A232424320) - the VCU software is updated by a dealer or via over-the-air (OTA) update free of charge. Owners experiencing a blank cluster should confirm the recall is applied and that their software is current.</x:v>
      </x:c>
      <x:c r="G15" s="73" t="str">
        <x:v>Instrument cluster goes completely blank
Speedometer and warning lights not displayed
Display blanks at startup or intermittently while driving</x:v>
      </x:c>
      <x:c r="H15" s="73" t="str"/>
      <x:c r="I15" s="89" t="n">
        <x:v>0</x:v>
      </x:c>
      <x:c r="J15" s="92" t="str">
        <x:v>PENDING — read full How to Fix</x:v>
      </x:c>
      <x:c r="K15" s="73" t="str"/>
      <x:c r="L15" s="73" t="str">
        <x:v>Needs review</x:v>
      </x:c>
      <x:c r="M15" s="73" t="str"/>
    </x:row>
    <x:row r="16" ht="115" customHeight="1">
      <x:c r="A16" s="73" t="n">
        <x:v>12</x:v>
      </x:c>
      <x:c r="B16" s="73" t="str">
        <x:v>buick-encore-pcv-camshaft-cover-diaphragm-failure-tea-kettle-whistle</x:v>
      </x:c>
      <x:c r="C16" s="73" t="str">
        <x:v>2013-2021 | Buick | Encore</x:v>
      </x:c>
      <x:c r="D16" s="73" t="str">
        <x:v>PCV / Camshaft Cover Diaphragm Failure (1.4L Turbo) - "Tea Kettle" Whistle</x:v>
      </x:c>
      <x:c r="E16" s="73" t="str">
        <x:v>The 1.4L turbocharged engine (LUV/LUJ family) used in the first-generation Encore is prone to a ruptured PCV pressure-regulator diaphragm built into the plastic camshaft (valve) cover. When the diaphragm cracks, unmetered air enters the intake, producing a loud high-pitched whistle or squeal that owners describe as a boiling tea kettle under the hood, along with rough idle and stalling at stops. GM acknowledged the defect with Special Coverage N202299080, extending warranty on the PCV/camshaft cover to 10 years / 120,000 miles for certain 2014 Encore (and related Cruze/Sonic/Trax) vehicles.</x:v>
      </x:c>
      <x:c r="F16" s="73" t="str">
        <x:v>Replace the camshaft (valve) cover, which contains the integrated PCV diaphragm; many owners upgrade to a revised cover. The root-cause check valve in the intake manifold should also be addressed (replace manifold or install an external check-valve/PCV bypass kit) to prevent turbo boost from over-pressurizing the crankcase. Check eligibility under GM Special Coverage N202299080.</x:v>
      </x:c>
      <x:c r="G16" s="73" t="str">
        <x:v>Loud tea-kettle / boiling whistle under hood
Check engine light
Rough idle
Stalling at idle or stoplights
Vacuum leak</x:v>
      </x:c>
      <x:c r="H16" s="73" t="str">
        <x:v>P0171, P0106</x:v>
      </x:c>
      <x:c r="I16" s="89" t="n">
        <x:v>0</x:v>
      </x:c>
      <x:c r="J16" s="92" t="str">
        <x:v>PENDING — read full How to Fix</x:v>
      </x:c>
      <x:c r="K16" s="73" t="str"/>
      <x:c r="L16" s="73" t="str">
        <x:v>Needs review</x:v>
      </x:c>
      <x:c r="M16" s="73" t="str"/>
    </x:row>
    <x:row r="17" ht="115" customHeight="1">
      <x:c r="A17" s="73" t="n">
        <x:v>13</x:v>
      </x:c>
      <x:c r="B17" s="73" t="str">
        <x:v>buick-encore-turbocharger-oil-supply-line-failure-causing-sudden-loss-pow</x:v>
      </x:c>
      <x:c r="C17" s="73" t="str">
        <x:v>2013-2018 | Buick | Encore</x:v>
      </x:c>
      <x:c r="D17" s="73" t="str">
        <x:v>Turbocharger / Oil Supply Line Failure Causing Sudden Loss of Power</x:v>
      </x:c>
      <x:c r="E17" s="73" t="str">
        <x:v>The 1.4L turbo Encore is known for turbocharger failures, often tied to the turbo oil feed/supply line, that cause a sudden loss of power while driving and a persistent check engine light. NHTSA complaints document dangerous highway events where the vehicle abruptly lost acceleration. GM later issued a field action/warranty extension covering 2017-2018 Encore turbochargers for 10 years / 120,000 miles, with the repair replacing the turbo assembly and associated oil-feed seals and gaskets.</x:v>
      </x:c>
      <x:c r="F17" s="73" t="str">
        <x:v>Replace the turbocharger assembly along with the turbo oil feed pipe seals, oil return pipe gaskets, exhaust/coolant seals, and related hardware per GM's procedure. For 2017-2018 models, check eligibility for the GM turbocharger warranty extension (10 yr / 120,000 mi). Maintain strict oil change intervals to avoid oil-feed line coking that accelerates turbo failure.</x:v>
      </x:c>
      <x:c r="G17" s="73" t="str">
        <x:v>Sudden loss of power on the highway
Reduced engine power warning
Check engine light
Turbo underboost
Loss of acceleration</x:v>
      </x:c>
      <x:c r="H17" s="73" t="str">
        <x:v>P0299</x:v>
      </x:c>
      <x:c r="I17" s="89" t="n">
        <x:v>0</x:v>
      </x:c>
      <x:c r="J17" s="92" t="str">
        <x:v>PENDING — read full How to Fix</x:v>
      </x:c>
      <x:c r="K17" s="73" t="str"/>
      <x:c r="L17" s="73" t="str">
        <x:v>Needs review</x:v>
      </x:c>
      <x:c r="M17" s="73" t="str"/>
    </x:row>
    <x:row r="18" ht="115" customHeight="1">
      <x:c r="A18" s="73" t="n">
        <x:v>14</x:v>
      </x:c>
      <x:c r="B18" s="73" t="str">
        <x:v>buick-envision-top-end-engine-ticking-from-hydraulic-lash-adjusters</x:v>
      </x:c>
      <x:c r="C18" s="73" t="str">
        <x:v>2025-2026 | Buick | Envision | 2.0L Turbo I4 (RPO: LSY)</x:v>
      </x:c>
      <x:c r="D18" s="73" t="str">
        <x:v>Top-End Engine Ticking from Hydraulic Lash Adjusters (LSY 2.0T)</x:v>
      </x:c>
      <x:c r="E18" s="73" t="str">
        <x:v>2025-2026 Envisions with the 2.0L turbo LSY four-cylinder develop an audible ticking noise from the top of the engine. Caused by manufacturing debris inside the Stationary Hydraulic Lash Adjusters (SHLAs) preventing proper oil pumping, leaving valvetrain clearance unmaintained. GM PIP6101A (Feb 2026) supersedes PIP6061.</x:v>
      </x:c>
      <x:c r="F18" s="73" t="str">
        <x:v>Per PIP6101A, dealer removes camshaft carrier, inspects for soft SHLAs, and replaces failed lash adjusters AND their matched rocker arms. Covered under powertrain warranty - do not let dealer dismiss as normal direct-injection noise.</x:v>
      </x:c>
      <x:c r="G18" s="73" t="str">
        <x:v>sewing-machine ticking from valve cover area
ticking worst at cold start and idle
noise may persist when warm
no power loss but audible from outside</x:v>
      </x:c>
      <x:c r="H18" s="73" t="str"/>
      <x:c r="I18" s="89" t="n">
        <x:v>0</x:v>
      </x:c>
      <x:c r="J18" s="92" t="str">
        <x:v>PENDING — read full How to Fix</x:v>
      </x:c>
      <x:c r="K18" s="73" t="str"/>
      <x:c r="L18" s="73" t="str">
        <x:v>Needs review</x:v>
      </x:c>
      <x:c r="M18" s="73" t="str"/>
    </x:row>
    <x:row r="19" ht="115" customHeight="1">
      <x:c r="A19" s="73" t="n">
        <x:v>15</x:v>
      </x:c>
      <x:c r="B19" s="73" t="str">
        <x:v>buick-lacrosse-3-6l-v6-timing-chain-stretch-wear</x:v>
      </x:c>
      <x:c r="C19" s="73" t="str">
        <x:v>2010-2012 | Buick | LaCrosse</x:v>
      </x:c>
      <x:c r="D19" s="73" t="str">
        <x:v>3.6L V6 Timing Chain Stretch and Wear</x:v>
      </x:c>
      <x:c r="E19" s="73" t="str">
        <x:v>The GM 3.6L V6 (LY7/LLT, and to a lesser extent the early LFX) used in the second-generation LaCrosse is prone to premature timing chain wear and stretch, especially on pre-2012 engines. Worn chains throw off cam-to-crank correlation, setting timing codes and, if neglected, can cause valve-to-piston contact and catastrophic engine damage. The problem is worsened by extended oil-change intervals and a marginal PCV system that accelerates oil contamination.</x:v>
      </x:c>
      <x:c r="F19" s="73" t="str">
        <x:v>Replace the timing chains, guides, and tensioners (a full timing set) along with the cam phasers; budget for a labor-intensive front-of-engine teardown. Maintain strict 5,000-mile oil changes with the correct dexos1 oil to prevent recurrence. GM revised chain and tensioner components for later production engines.</x:v>
      </x:c>
      <x:c r="G19" s="73" t="str">
        <x:v>Metallic rattle or clatter from front of engine for 2-5 seconds on cold start
Check engine light
Reduced engine power / limp mode
Engine ticking or rattling noise
Rough running or misfire</x:v>
      </x:c>
      <x:c r="H19" s="73" t="str">
        <x:v>P0008, P0009, P0016, P0017, P0018, P0019</x:v>
      </x:c>
      <x:c r="I19" s="89" t="n">
        <x:v>0</x:v>
      </x:c>
      <x:c r="J19" s="92" t="str">
        <x:v>PENDING — read full How to Fix</x:v>
      </x:c>
      <x:c r="K19" s="73" t="str"/>
      <x:c r="L19" s="73" t="str">
        <x:v>Needs review</x:v>
      </x:c>
      <x:c r="M19" s="73" t="str"/>
    </x:row>
    <x:row r="20" ht="115" customHeight="1">
      <x:c r="A20" s="73" t="n">
        <x:v>16</x:v>
      </x:c>
      <x:c r="B20" s="73" t="str">
        <x:v>buick-lacrosse-3-8l-v6-lower-intake-manifold-gasket-plastic-coolant-elbow-l</x:v>
      </x:c>
      <x:c r="C20" s="73" t="str">
        <x:v>2005-2009 | Buick | LaCrosse</x:v>
      </x:c>
      <x:c r="D20" s="73" t="str">
        <x:v>3.8L V6 Lower Intake Manifold Gasket / Plastic Coolant Elbow Leaks</x:v>
      </x:c>
      <x:c r="E20" s="73" t="str">
        <x:v>First-generation LaCrosse models with the GM 3.8L (Series III) V6 commonly develop lower intake manifold gasket leaks, and the plastic coolant elbow at the water pump deforms from heat and leaks. Coolant loss can lead to overheating; in severe upper-intake cases coolant can enter a cylinder and hydro-lock the engine. This is a well-documented age/heat-related failure on this engine family.</x:v>
      </x:c>
      <x:c r="F20" s="73" t="str">
        <x:v>Replace the lower intake manifold gaskets with GM's revised gasket (higher-temp rubber with metal coolant-passage inserts) and swap the plastic coolant elbows for metal Dorman replacements. Pressure-test the cooling system and inspect for oil/coolant intermixing during the repair.</x:v>
      </x:c>
      <x:c r="G20" s="73" t="str">
        <x:v>Coolant smell and slow coolant loss
Visible coolant leak near intake / water pump
Overheating
Low coolant warning
White exhaust smoke or hydro-lock in severe cases</x:v>
      </x:c>
      <x:c r="H20" s="73" t="str"/>
      <x:c r="I20" s="89" t="n">
        <x:v>0</x:v>
      </x:c>
      <x:c r="J20" s="92" t="str">
        <x:v>PENDING — read full How to Fix</x:v>
      </x:c>
      <x:c r="K20" s="73" t="str"/>
      <x:c r="L20" s="73" t="str">
        <x:v>Needs review</x:v>
      </x:c>
      <x:c r="M20" s="73" t="str"/>
    </x:row>
    <x:row r="21" ht="115" customHeight="1">
      <x:c r="A21" s="73" t="n">
        <x:v>17</x:v>
      </x:c>
      <x:c r="B21" s="73" t="str">
        <x:v>buick-lacrosse-3.6l-timing-chain</x:v>
      </x:c>
      <x:c r="C21" s="73" t="str">
        <x:v>2010-2016 | Buick | LaCrosse | CX, CXL, CXS, Touring, Premium I, Premium II, Premium III, Sport Touring | 3.6L LFX/LLT V6</x:v>
      </x:c>
      <x:c r="D21" s="73" t="str">
        <x:v>LaCrosse 3.6L LLT/LFX Timing Chain Stretch</x:v>
      </x:c>
      <x:c r="E21" s="73" t="str">
        <x:v>The GM 3.6L LLT (2007-2011) and LFX (2012+) "High Feature" V6 in LaCrosse, Enclave, Acadia, Traverse, CTS, Cadillac SRX, and many others suffers timing chain stretch typically between 80,000-150,000 miles. Root cause is oil-related — original OLM intervals (up to 12,000 miles) starved the chain of fresh oil. Excessive oil consumption (LLT also has a known consumption issue) accelerates wear.</x:v>
      </x:c>
      <x:c r="F21" s="73" t="str">
        <x:v>Full timing chain kit ($2,000-$3,500 incl. labor) — both primary and secondary chains, all tensioners and guides. Switch to 5,000-7,500 mile oil intervals with full-synthetic dexos1 5W-30. LLT engines may also need PCV valve replacement to reduce oil consumption (TSB 10-06-01-007).</x:v>
      </x:c>
      <x:c r="G21" s="73" t="str">
        <x:v>cold start rattle
check engine light
extended cranking
misfire
low oil between changes</x:v>
      </x:c>
      <x:c r="H21" s="73" t="str">
        <x:v>P0008, P0009, P0016, P0017, P0018, P0019, P0300</x:v>
      </x:c>
      <x:c r="I21" s="89" t="n">
        <x:v>0</x:v>
      </x:c>
      <x:c r="J21" s="92" t="str">
        <x:v>PENDING — read full How to Fix</x:v>
      </x:c>
      <x:c r="K21" s="73" t="str"/>
      <x:c r="L21" s="73" t="str">
        <x:v>Needs review</x:v>
      </x:c>
      <x:c r="M21" s="73" t="str"/>
    </x:row>
    <x:row r="22" ht="115" customHeight="1">
      <x:c r="A22" s="73" t="n">
        <x:v>18</x:v>
      </x:c>
      <x:c r="B22" s="73" t="str">
        <x:v>buick-lacrosse-driver-door-wiring-splice-corrosion</x:v>
      </x:c>
      <x:c r="C22" s="73" t="str">
        <x:v>2014-2014 | Buick | LaCrosse</x:v>
      </x:c>
      <x:c r="D22" s="73" t="str">
        <x:v>Driver Door Wiring Splice Corrosion (Recall 14V317000)</x:v>
      </x:c>
      <x:c r="E22" s="73" t="str">
        <x:v>On certain 2014 LaCrosse vehicles, a wiring splice in the driver's door can corrode and break. This eliminates the audible key-in-ignition / door-open chime (increasing rollaway risk) and can leave the Retained Accessory Power module active for about ten minutes, allowing the power windows and sunroof to be operated after the vehicle is shut off, an injury risk for unsupervised occupants.</x:v>
      </x:c>
      <x:c r="F22" s="73" t="str">
        <x:v>Under recall 14V317000, dealers inspect the driver door window motor harness and replace the electrical splice as necessary, free of charge. For non-recall door-harness wear, repair or re-splice the broken wires in the door jamb flex loom.</x:v>
      </x:c>
      <x:c r="G22" s="73" t="str">
        <x:v>No door-open chime when key is in ignition
Power windows/sunroof operate after car is off
Intermittent driver door window/lock operation
Door switch functions stop working</x:v>
      </x:c>
      <x:c r="H22" s="73" t="str"/>
      <x:c r="I22" s="89" t="n">
        <x:v>0</x:v>
      </x:c>
      <x:c r="J22" s="92" t="str">
        <x:v>PENDING — read full How to Fix</x:v>
      </x:c>
      <x:c r="K22" s="73" t="str"/>
      <x:c r="L22" s="73" t="str">
        <x:v>Needs review</x:v>
      </x:c>
      <x:c r="M22" s="73" t="str"/>
    </x:row>
    <x:row r="23" ht="115" customHeight="1">
      <x:c r="A23" s="73" t="n">
        <x:v>19</x:v>
      </x:c>
      <x:c r="B23" s="73" t="str">
        <x:v>buick-lacrosse-eassist-12v-battery-drain-service-battery-charging-system-wa</x:v>
      </x:c>
      <x:c r="C23" s="73" t="str">
        <x:v>2012-2016 | Buick | LaCrosse</x:v>
      </x:c>
      <x:c r="D23" s="73" t="str">
        <x:v>eAssist 12V Battery Drain and "Service Battery Charging System" Warnings</x:v>
      </x:c>
      <x:c r="E23" s="73" t="str">
        <x:v>LaCrosse models equipped with the eAssist mild-hybrid system suffer recurring charging and 12V battery problems tied to the Generator Control Module and the hybrid battery energy control module. Owners report parasitic battery drain, no-start conditions, and "Service Battery Charging System" messages. GM issued a recall (NHTSA 13V173000) for a Generator Control Module malfunction on eAssist cars, and dealers ran a module/battery exchange program through GM TAC.</x:v>
      </x:c>
      <x:c r="F23" s="73" t="str">
        <x:v>Have the dealer diagnose the Generator Control Module and Battery Energy Control Module per the GM exchange/recall program; replace failed modules and the 12V battery as needed. Check for the open recall by VIN. Inspect the hybrid battery control module wiring harness for shorts when chasing parasitic drain.</x:v>
      </x:c>
      <x:c r="G23" s="73" t="str">
        <x:v>Service Battery Charging System warning message
Battery drains overnight / parasitic draw
No-start or intermittent no-start
Reduced or lost hybrid assist and fuel economy
Stalling</x:v>
      </x:c>
      <x:c r="H23" s="73" t="str"/>
      <x:c r="I23" s="89" t="n">
        <x:v>0</x:v>
      </x:c>
      <x:c r="J23" s="92" t="str">
        <x:v>PENDING — read full How to Fix</x:v>
      </x:c>
      <x:c r="K23" s="73" t="str"/>
      <x:c r="L23" s="73" t="str">
        <x:v>Needs review</x:v>
      </x:c>
      <x:c r="M23" s="73" t="str"/>
    </x:row>
    <x:row r="24" ht="115" customHeight="1">
      <x:c r="A24" s="73" t="n">
        <x:v>20</x:v>
      </x:c>
      <x:c r="B24" s="73" t="str">
        <x:v>buick-lacrosse-electronic-power-steering-connector-corrosion-loss-assist</x:v>
      </x:c>
      <x:c r="C24" s="73" t="str">
        <x:v>2017-2017 | Buick | LaCrosse</x:v>
      </x:c>
      <x:c r="D24" s="73" t="str">
        <x:v>Electronic Power Steering Connector Corrosion / Loss of Assist (Recall 17V116000)</x:v>
      </x:c>
      <x:c r="E24" s="73" t="str">
        <x:v>On certain third-generation LaCrosse models, the electrical connectors for the Electronic Power Steering (EPS) system were not properly sealed, allowing water intrusion that corrodes the connectors. The resulting fault can cause a sudden loss of power steering assist, increasing crash risk, particularly at low speeds. GM issued NHTSA recall 17V116000 to address it.</x:v>
      </x:c>
      <x:c r="F24" s="73" t="str">
        <x:v>Under recall 17V116000, dealers inspect, correct the seal seating, and secure the EPS connector seals free of charge. Owners should verify the recall has been completed by VIN; if assist is lost, have the EPS connectors and module inspected for corrosion.</x:v>
      </x:c>
      <x:c r="G24" s="73" t="str">
        <x:v>Sudden loss of power steering assist
Heavy / hard steering
Power steering warning light
Intermittent steering assist</x:v>
      </x:c>
      <x:c r="H24" s="73" t="str"/>
      <x:c r="I24" s="89" t="n">
        <x:v>0</x:v>
      </x:c>
      <x:c r="J24" s="92" t="str">
        <x:v>PENDING — read full How to Fix</x:v>
      </x:c>
      <x:c r="K24" s="73" t="str"/>
      <x:c r="L24" s="73" t="str">
        <x:v>Needs review</x:v>
      </x:c>
      <x:c r="M24" s="73" t="str"/>
    </x:row>
    <x:row r="25" ht="115" customHeight="1">
      <x:c r="A25" s="73" t="n">
        <x:v>21</x:v>
      </x:c>
      <x:c r="B25" s="73" t="str">
        <x:v>buick-lacrosse-hvac-blower-motor-climate-control-module-failures</x:v>
      </x:c>
      <x:c r="C25" s="73" t="str">
        <x:v>2008-2014 | Buick | LaCrosse</x:v>
      </x:c>
      <x:c r="D25" s="73" t="str">
        <x:v>HVAC Blower Motor and Climate Control Module Failures</x:v>
      </x:c>
      <x:c r="E25" s="73" t="str">
        <x:v>Across LaCrosse generations the HVAC blower motor (and on some 3800-era cars the blower resistor) commonly fails as the car ages, causing intermittent or no airflow. Additionally, a software fault in the electronic climate control (ECC) module can disable the ability to adjust HVAC settings entirely, leaving the driver unable to control heating, cooling, and ventilation.</x:v>
      </x:c>
      <x:c r="F25" s="73" t="str">
        <x:v>Replace the failed blower motor (and resistor module on older cars) as a common wear repair. For frozen climate controls, update or replace the ECC/HVAC control module per GM software updates; inspect connectors for corrosion.</x:v>
      </x:c>
      <x:c r="G25" s="73" t="str">
        <x:v>No air from vents or only on certain fan speeds
Blower works intermittently
Cannot adjust temperature or fan settings
Climate control display unresponsive
AC not cooling</x:v>
      </x:c>
      <x:c r="H25" s="73" t="str"/>
      <x:c r="I25" s="89" t="n">
        <x:v>0</x:v>
      </x:c>
      <x:c r="J25" s="92" t="str">
        <x:v>PENDING — read full How to Fix</x:v>
      </x:c>
      <x:c r="K25" s="73" t="str"/>
      <x:c r="L25" s="73" t="str">
        <x:v>Needs review</x:v>
      </x:c>
      <x:c r="M25" s="73" t="str"/>
    </x:row>
    <x:row r="26" ht="115" customHeight="1">
      <x:c r="A26" s="73" t="n">
        <x:v>22</x:v>
      </x:c>
      <x:c r="B26" s="73" t="str">
        <x:v>buick-lacrosse-intermittent-low-beam-headlight-failure</x:v>
      </x:c>
      <x:c r="C26" s="73" t="str">
        <x:v>2005-2008 | Buick | LaCrosse</x:v>
      </x:c>
      <x:c r="D26" s="73" t="str">
        <x:v>Intermittent Low-Beam Headlight Failure</x:v>
      </x:c>
      <x:c r="E26" s="73" t="str">
        <x:v>First-generation LaCrosse/Allure owners filed a large number of NHTSA complaints about the low-beam headlights cutting off intermittently while driving, then sometimes coming back on. This is one of the single most-reported problems for the 2006 model year and a recognized safety concern because of sudden loss of forward lighting at night.</x:v>
      </x:c>
      <x:c r="F26" s="73" t="str">
        <x:v>Diagnose the headlight wiring, the underhood bussed electrical center/relays, and the headlamp switch/connectors for heat damage and loose terminals; repair or replace affected harness connectors and relays. Some owners resolve it by replacing corroded headlamp socket connectors.</x:v>
      </x:c>
      <x:c r="G26" s="73" t="str">
        <x:v>Low-beam headlights turn off intermittently while driving
Headlights flicker
One or both headlights cut out then return
Loss of forward lighting at night</x:v>
      </x:c>
      <x:c r="H26" s="73" t="str"/>
      <x:c r="I26" s="89" t="n">
        <x:v>0</x:v>
      </x:c>
      <x:c r="J26" s="92" t="str">
        <x:v>PENDING — read full How to Fix</x:v>
      </x:c>
      <x:c r="K26" s="73" t="str"/>
      <x:c r="L26" s="73" t="str">
        <x:v>Needs review</x:v>
      </x:c>
      <x:c r="M26" s="73" t="str"/>
    </x:row>
    <x:row r="27" ht="115" customHeight="1">
      <x:c r="A27" s="73" t="n">
        <x:v>23</x:v>
      </x:c>
      <x:c r="B27" s="73" t="str">
        <x:v>buick-lacrosse-rear-suspension-toe-link-may-loosen-fracture</x:v>
      </x:c>
      <x:c r="C27" s="73" t="str">
        <x:v>2017-2017 | Buick | LaCrosse</x:v>
      </x:c>
      <x:c r="D27" s="73" t="str">
        <x:v>Rear Suspension Toe-Link May Loosen / Fracture (Recalls 17V267000 &amp; later)</x:v>
      </x:c>
      <x:c r="E27" s="73" t="str">
        <x:v>Rear suspension toe-links on certain LaCrosse sedans were improperly installed and could loosen and disconnect (recall 17V267000), and a later expanded campaign covered toe-links that could fracture due to corrosion in salt-belt regions. A disconnected or broken toe-link causes a sudden loss of vehicle control and a significant crash risk.</x:v>
      </x:c>
      <x:c r="F27" s="73" t="str">
        <x:v>Under the applicable recall, dealers inspect the left and right rear suspension toe-link assemblies and correct the installation or replace corroded links free of charge. Owners in road-salt states should check for the expanded toe-link recall by VIN and have rear suspension inspected.</x:v>
      </x:c>
      <x:c r="G27" s="73" t="str">
        <x:v>Clunking or knocking from rear suspension
Rear-end wandering or loss of control
Uneven rear tire wear
Loose-feeling rear end</x:v>
      </x:c>
      <x:c r="H27" s="73" t="str"/>
      <x:c r="I27" s="89" t="n">
        <x:v>0</x:v>
      </x:c>
      <x:c r="J27" s="92" t="str">
        <x:v>PENDING — read full How to Fix</x:v>
      </x:c>
      <x:c r="K27" s="73" t="str"/>
      <x:c r="L27" s="73" t="str">
        <x:v>Needs review</x:v>
      </x:c>
      <x:c r="M27" s="73" t="str"/>
    </x:row>
    <x:row r="28" ht="115" customHeight="1">
      <x:c r="A28" s="73" t="n">
        <x:v>24</x:v>
      </x:c>
      <x:c r="B28" s="73" t="str">
        <x:v>buick-lesabre-electronic-climate-control-programmer-blower-control-module</x:v>
      </x:c>
      <x:c r="C28" s="73" t="str">
        <x:v>1992-2005 | Buick | LeSabre</x:v>
      </x:c>
      <x:c r="D28" s="73" t="str">
        <x:v>Electronic Climate Control Programmer / Blower Control Module Failure</x:v>
      </x:c>
      <x:c r="E28" s="73" t="str">
        <x:v>LeSabres with automatic climate control rely on an HVAC programmer (1992-1999) or a blower control module (2000-2005) instead of conventional relays and resistors, and these electronic controllers are a well-documented failure point. Heat ages the module's electronics and the programmer's plastic actuator gears and connectors, so the blower works intermittently, quits entirely, or keeps running at high speed even with the ignition off, which can drain the battery. Temperature blend and mode doors can also stick when the programmer loses its actuator reference.</x:v>
      </x:c>
      <x:c r="F28" s="73" t="str">
        <x:v>Diagnose by powering the blower motor directly; if the motor runs, replace the blower control module (mounted near the blower under the dash or cowl) or the HVAC programmer on earlier cars. Aftermarket modules are inexpensive, and replacement restores normal automatic fan operation.</x:v>
      </x:c>
      <x:c r="G28" s="73" t="str">
        <x:v>Blower fan works intermittently or quits
Fan keeps running after the key is off
Dead battery from blower running overnight
Fan only works on some speeds
No heat or A/C airflow
Temperature control stuck hot or cold</x:v>
      </x:c>
      <x:c r="H28" s="73" t="str"/>
      <x:c r="I28" s="89" t="n">
        <x:v>0</x:v>
      </x:c>
      <x:c r="J28" s="92" t="str">
        <x:v>PENDING — read full How to Fix</x:v>
      </x:c>
      <x:c r="K28" s="73" t="str"/>
      <x:c r="L28" s="73" t="str">
        <x:v>Needs review</x:v>
      </x:c>
      <x:c r="M28" s="73" t="str"/>
    </x:row>
    <x:row r="29" ht="115" customHeight="1">
      <x:c r="A29" s="73" t="n">
        <x:v>25</x:v>
      </x:c>
      <x:c r="B29" s="73" t="str">
        <x:v>buick-lesabre-front-strut-mount-bearing-wear-clunking-popping-over-bumps-t</x:v>
      </x:c>
      <x:c r="C29" s="73" t="str">
        <x:v>2000-2005 | Buick | LeSabre</x:v>
      </x:c>
      <x:c r="D29" s="73" t="str">
        <x:v>Front Strut Mount and Bearing Wear — Clunking and Popping Over Bumps and in Turns</x:v>
      </x:c>
      <x:c r="E29" s="73" t="str">
        <x:v>The upper front strut mounts and their integrated bearings on 2000-2005 LeSabres wear out routinely: the rubber isolator breaks down and the bearing dries out, producing clunks and pops over bumps and a distinct pop or ping when first turning the wheel at low speed. Multiple Buick Forums threads document the same noise pattern, and worn mounts add play that degrades steering feel and accelerates tire and strut wear.</x:v>
      </x:c>
      <x:c r="F29" s="73" t="str">
        <x:v>Replace both front strut mounts; most shops install complete loaded strut assemblies (quick-struts) in pairs since the struts themselves are usually tired at the same mileage. An alignment afterward is recommended.</x:v>
      </x:c>
      <x:c r="G29" s="73" t="str">
        <x:v>Clunk or knock from the front over bumps
Pop or ping when turning the steering wheel at low speed
Squeaking from the front suspension
Notchy or uneven steering feel
Cupped or uneven front tire wear</x:v>
      </x:c>
      <x:c r="H29" s="73" t="str"/>
      <x:c r="I29" s="89" t="n">
        <x:v>0</x:v>
      </x:c>
      <x:c r="J29" s="92" t="str">
        <x:v>PENDING — read full How to Fix</x:v>
      </x:c>
      <x:c r="K29" s="73" t="str"/>
      <x:c r="L29" s="73" t="str">
        <x:v>Needs review</x:v>
      </x:c>
      <x:c r="M29" s="73" t="str"/>
    </x:row>
    <x:row r="30" ht="115" customHeight="1">
      <x:c r="A30" s="73" t="n">
        <x:v>26</x:v>
      </x:c>
      <x:c r="B30" s="73" t="str">
        <x:v>buick-lesabre-fuel-pressure-regulator-diaphragm-leak-fire-risk-recall</x:v>
      </x:c>
      <x:c r="C30" s="73" t="str">
        <x:v>1998-2000 | Buick | LeSabre</x:v>
      </x:c>
      <x:c r="D30" s="73" t="str">
        <x:v>Fuel Pressure Regulator Diaphragm Leak — Fire Risk Recall (NHTSA 04V090000 / GM 03054B)</x:v>
      </x:c>
      <x:c r="E30" s="73" t="str">
        <x:v>Delphi fuel pressure regulators on 1998-2000 LeSabres with the 3800 V6 (L36) had an abnormally high rate of diaphragm leaks that let raw fuel be sucked into the intake manifold through the vacuum line. During a slow-crank start, the fuel-loaded manifold can backfire violently enough to rupture the intake, displace a fuel line, pull an injector out of place, and start an engine fire. GM recalled about 911,000 GM vehicles for this defect under NHTSA campaign 04V090000 (GM recall 03054B) in 2004.</x:v>
      </x:c>
      <x:c r="F30" s="73" t="str">
        <x:v>GM dealers replaced the regulator with a revised design free of charge under recall 03054B; check the VIN for open recall completion. If the recall was never performed or the replacement has since failed, install a new fuel pressure regulator — an inexpensive job since the regulator sits on top of the fuel rail.</x:v>
      </x:c>
      <x:c r="G30" s="73" t="str">
        <x:v>Hard starting, especially with a weak battery
Loud backfire or bang through the intake when starting
Fuel smell under the hood
Black smoke from the exhaust at startup
Raw fuel visible in the regulator vacuum hose
Poor fuel economy</x:v>
      </x:c>
      <x:c r="H30" s="73" t="str"/>
      <x:c r="I30" s="89" t="n">
        <x:v>0</x:v>
      </x:c>
      <x:c r="J30" s="92" t="str">
        <x:v>PENDING — read full How to Fix</x:v>
      </x:c>
      <x:c r="K30" s="73" t="str"/>
      <x:c r="L30" s="73" t="str">
        <x:v>Needs review</x:v>
      </x:c>
      <x:c r="M30" s="73" t="str"/>
    </x:row>
    <x:row r="31" ht="115" customHeight="1">
      <x:c r="A31" s="73" t="n">
        <x:v>27</x:v>
      </x:c>
      <x:c r="B31" s="73" t="str">
        <x:v>buick-lesabre-pass-key-anti-theft-system-fault-security-light-engine-crank</x:v>
      </x:c>
      <x:c r="C31" s="73" t="str">
        <x:v>1992-2005 | Buick | LeSabre</x:v>
      </x:c>
      <x:c r="D31" s="73" t="str">
        <x:v>PASS-Key Anti-Theft System Fault — Security Light On, Engine Cranks but Won't Start</x:v>
      </x:c>
      <x:c r="E31" s="73" t="str">
        <x:v>The factory anti-theft system (PASS-Key resistor-pellet keys on 1992-1999; PASS-Key III transponder keys on 2000-2005) is a frequent no-start culprit on aging LeSabres. Worn contacts in the ignition lock cylinder, broken sensor wires in the steering column, or a worn key pellet make the system fail to recognize the key, so it disables the fuel injectors and the car cranks without starting while the SECURITY light flashes. The failure is typically intermittent at first, stranding owners unpredictably, and is documented across many forum threads and GM-wide repair guides.</x:v>
      </x:c>
      <x:c r="F31" s="73" t="str">
        <x:v>Try the relearn/wait procedure (key on with security light flashing for about 10 minutes, then restart) to get going. The lasting fix is replacing the ignition lock cylinder/Passkey sensor (and worn keys) followed by the security relearn; some owners on older resistor-pellet cars install a matched bypass resistor instead.</x:v>
      </x:c>
      <x:c r="G31" s="73" t="str">
        <x:v>SECURITY light flashing or staying on
Engine cranks but will not start
Car starts after waiting 10-30 minutes
Intermittent no-start that worsens over time
Engine starts then immediately dies</x:v>
      </x:c>
      <x:c r="H31" s="73" t="str"/>
      <x:c r="I31" s="89" t="n">
        <x:v>0</x:v>
      </x:c>
      <x:c r="J31" s="92" t="str">
        <x:v>PENDING — read full How to Fix</x:v>
      </x:c>
      <x:c r="K31" s="73" t="str"/>
      <x:c r="L31" s="73" t="str">
        <x:v>Needs review</x:v>
      </x:c>
      <x:c r="M31" s="73" t="str"/>
    </x:row>
    <x:row r="32" ht="115" customHeight="1">
      <x:c r="A32" s="73" t="n">
        <x:v>28</x:v>
      </x:c>
      <x:c r="B32" s="73" t="str">
        <x:v>buick-lesabre-plastic-upper-intake-manifold-degradation-causing-coolant-le</x:v>
      </x:c>
      <x:c r="C32" s="73" t="str">
        <x:v>1996-2005 | Buick | LeSabre</x:v>
      </x:c>
      <x:c r="D32" s="73" t="str">
        <x:v>Plastic Upper Intake Manifold (Plenum) Degradation Causing Coolant Leak and Hydro-Lock Risk</x:v>
      </x:c>
      <x:c r="E32" s="73" t="str">
        <x:v>The naturally aspirated 3800 Series II V6 (L36) uses a composite plastic upper intake manifold whose material degrades around the hot EGR stovepipe passage. Over time the plastic erodes and cracks, letting coolant leak externally near the throttle body or internally into the intake, where it is drawn into the cylinders. GM acknowledged the failure in TSB 04-06-01-017 (May 2004) with a redesigned service kit; in worst cases enough coolant pools in the intake to hydro-lock and destroy the engine. This plenum failure is distinct from the lower intake manifold gasket leak that also affects these engines.</x:v>
      </x:c>
      <x:c r="F32" s="73" t="str">
        <x:v>Replace the upper intake manifold with the revised GM service kit or an improved aftermarket plenum (with updated gaskets and EGR stovepipe), per GM TSB 04-06-01-017. Most shops replace the lower intake gaskets at the same time since the manifold is already off. Never keep driving with unexplained coolant loss — internal leaks can hydro-lock the engine.</x:v>
      </x:c>
      <x:c r="G32" s="73" t="str">
        <x:v>Unexplained coolant loss with no visible puddle
Coolant leak near or under the throttle body
White sweet-smelling exhaust smoke at startup
Rough running or misfires
Low coolant light coming on repeatedly
Engine cranks but locks up (hydro-lock) in severe cases</x:v>
      </x:c>
      <x:c r="H32" s="73" t="str"/>
      <x:c r="I32" s="89" t="n">
        <x:v>0</x:v>
      </x:c>
      <x:c r="J32" s="92" t="str">
        <x:v>PENDING — read full How to Fix</x:v>
      </x:c>
      <x:c r="K32" s="73" t="str"/>
      <x:c r="L32" s="73" t="str">
        <x:v>Needs review</x:v>
      </x:c>
      <x:c r="M32" s="73" t="str"/>
    </x:row>
    <x:row r="33" ht="115" customHeight="1">
      <x:c r="A33" s="73" t="n">
        <x:v>29</x:v>
      </x:c>
      <x:c r="B33" s="73" t="str">
        <x:v>buick-lesabre-power-window-regulator-cable-failure</x:v>
      </x:c>
      <x:c r="C33" s="73" t="str">
        <x:v>2000-2005 | Buick | LeSabre</x:v>
      </x:c>
      <x:c r="D33" s="73" t="str">
        <x:v>Power Window Regulator Cable Failure (Windows Drop or Stop Working)</x:v>
      </x:c>
      <x:c r="E33" s="73" t="str">
        <x:v>The cable-type window regulators in 2000-2005 LeSabres use plastic guide pulleys and cable channels that crack with age, letting the cable jump off its reel and bind. The window then drops into the door, falls off track, or stops responding entirely. CarComplaints logs 63 owner reports on the 2002 model year alone (average failure around 80,000 miles, average repair $370), owners commonly replace regulators on multiple doors, and GM never issued a recall.</x:v>
      </x:c>
      <x:c r="F33" s="73" t="str">
        <x:v>Replace the failed window regulator assembly with an updated aftermarket unit (commonly available for $50-$100); the motor can usually be reused. Many owners replace regulators in remaining doors preemptively or keep a spare, since failures across all four windows are widely reported.</x:v>
      </x:c>
      <x:c r="G33" s="73" t="str">
        <x:v>Window falls into the door suddenly
Grinding or clicking when operating the window
Window stuck in the down position
Motor runs but glass does not move
Window off-track or tilted in the channel</x:v>
      </x:c>
      <x:c r="H33" s="73" t="str"/>
      <x:c r="I33" s="89" t="n">
        <x:v>0</x:v>
      </x:c>
      <x:c r="J33" s="92" t="str">
        <x:v>PENDING — read full How to Fix</x:v>
      </x:c>
      <x:c r="K33" s="73" t="str"/>
      <x:c r="L33" s="73" t="str">
        <x:v>Needs review</x:v>
      </x:c>
      <x:c r="M33" s="73" t="str"/>
    </x:row>
    <x:row r="34" ht="115" customHeight="1">
      <x:c r="A34" s="73" t="n">
        <x:v>30</x:v>
      </x:c>
      <x:c r="B34" s="73" t="str">
        <x:v>buick-lesabre-tank-fuel-pump-fuel-level-sender-failure</x:v>
      </x:c>
      <x:c r="C34" s="73" t="str">
        <x:v>1998-2005 | Buick | LeSabre</x:v>
      </x:c>
      <x:c r="D34" s="73" t="str">
        <x:v>In-Tank Fuel Pump and Fuel Level Sender Failure (Stalling, No-Start, Erratic Gauge)</x:v>
      </x:c>
      <x:c r="E34" s="73" t="str">
        <x:v>The in-tank fuel pump module on these LeSabres is a common high-mileage failure: the pump weakens or overheats and dies, causing sudden stalling at speed or a crank-no-start, while the fuel level sensor on the same module wears and makes the gas gauge read erratically or stick. NHTSA complaint aggregations show dozens of fuel delivery and fuel gauge complaints concentrated in the 1998-2005 cars, and owners report stalling that strands them in traffic. Running the tank chronically low accelerates pump wear because the fuel cools the pump.</x:v>
      </x:c>
      <x:c r="F34" s="73" t="str">
        <x:v>Replace the complete fuel pump module assembly (pump, sender, and strainer together) — the tank must be dropped on these cars. Replacing the whole module rather than just the pump fixes the erratic fuel gauge at the same time.</x:v>
      </x:c>
      <x:c r="G34" s="73" t="str">
        <x:v>Engine stalls while driving, often when hot
Cranks but will not start
Loud whining from the rear/fuel tank
Fuel gauge reads erratically or sticks
Long crank times before starting
Loss of power under acceleration</x:v>
      </x:c>
      <x:c r="H34" s="73" t="str"/>
      <x:c r="I34" s="89" t="n">
        <x:v>0</x:v>
      </x:c>
      <x:c r="J34" s="92" t="str">
        <x:v>PENDING — read full How to Fix</x:v>
      </x:c>
      <x:c r="K34" s="73" t="str"/>
      <x:c r="L34" s="73" t="str">
        <x:v>Needs review</x:v>
      </x:c>
      <x:c r="M34" s="73" t="str"/>
    </x:row>
    <x:row r="35" ht="115" customHeight="1">
      <x:c r="A35" s="73" t="n">
        <x:v>31</x:v>
      </x:c>
      <x:c r="B35" s="73" t="str">
        <x:v>buick-lucerne-fuel-pump-relay-overheats-melts-fuse-box</x:v>
      </x:c>
      <x:c r="C35" s="73" t="str">
        <x:v>2008-2011 | Buick | Lucerne</x:v>
      </x:c>
      <x:c r="D35" s="73" t="str">
        <x:v>Fuel Pump Relay Overheats and Melts Fuse Box (Crank/No-Start, Stalling)</x:v>
      </x:c>
      <x:c r="E35" s="73" t="str">
        <x:v>On 2008-2011 Lucernes the fuel pump relay terminals in the rear fuse box (located under the rear seat) overheat and melt, partly because the rear seat bracket presses on the fuse box lid. This burns the relay socket, cuts power to the fuel pump, and causes stalling, no-starts, and a potential underseat fire hazard. It is frequently mistaken for a failed fuel pump.</x:v>
      </x:c>
      <x:c r="F35" s="73" t="str">
        <x:v>Repair the melted fuse box terminal/relay socket and replace the fuel pump relay; severe cases require replacing the fuse box. Inspecting and re-terminating the relay circuit (rather than just swapping the pump) is the correct fix. Some owners relocate/upgrade the relay terminal to prevent recurrence.</x:v>
      </x:c>
      <x:c r="G35" s="73" t="str">
        <x:v>Crank but no start
Engine stalls and dies, sometimes in traffic
No fuel pump prime sound at key-on
Burning/melted plastic smell from under rear seat
Intermittent loss of power</x:v>
      </x:c>
      <x:c r="H35" s="73" t="str"/>
      <x:c r="I35" s="89" t="n">
        <x:v>0</x:v>
      </x:c>
      <x:c r="J35" s="92" t="str">
        <x:v>PENDING — read full How to Fix</x:v>
      </x:c>
      <x:c r="K35" s="73" t="str"/>
      <x:c r="L35" s="73" t="str">
        <x:v>Needs review</x:v>
      </x:c>
      <x:c r="M35" s="73" t="str"/>
    </x:row>
    <x:row r="36" ht="115" customHeight="1">
      <x:c r="A36" s="73" t="n">
        <x:v>32</x:v>
      </x:c>
      <x:c r="B36" s="73" t="str">
        <x:v>buick-lucerne-heated-windshield-washer-fluid-module-fire-risk</x:v>
      </x:c>
      <x:c r="C36" s="73" t="str">
        <x:v>2006-2009 | Buick | Lucerne</x:v>
      </x:c>
      <x:c r="D36" s="73" t="str">
        <x:v>Heated Windshield Washer Fluid Module Fire Risk (Microheat)</x:v>
      </x:c>
      <x:c r="E36" s="73" t="str">
        <x:v>Lucernes equipped with the heated washer fluid feature use a Microheat control module that can short-circuit on its printed circuit board, overheating the ground wire. This can produce odor, smoke, and an underhood fire. GM's first 2008 fix did not stop the fires, forcing a second, broader recall in 2010 covering roughly 1.5 million GM vehicles.</x:v>
      </x:c>
      <x:c r="F36" s="73" t="str">
        <x:v>Covered under NHTSA recalls 08V441000 (first remedy) and 10V240000 (second/final remedy). Dealers permanently disable and remove the heated washer module and reroute the washer fluid hoses. GM paid affected owners $100 each.</x:v>
      </x:c>
      <x:c r="G36" s="73" t="str">
        <x:v>Burning smell from under the hood
Smoke from engine compartment
Heated washer feature stops working
Blown fuses or electrical malfunctions</x:v>
      </x:c>
      <x:c r="H36" s="73" t="str"/>
      <x:c r="I36" s="89" t="n">
        <x:v>0</x:v>
      </x:c>
      <x:c r="J36" s="92" t="str">
        <x:v>PENDING — read full How to Fix</x:v>
      </x:c>
      <x:c r="K36" s="73" t="str"/>
      <x:c r="L36" s="73" t="str">
        <x:v>Needs review</x:v>
      </x:c>
      <x:c r="M36" s="73" t="str"/>
    </x:row>
    <x:row r="37" ht="115" customHeight="1">
      <x:c r="A37" s="73" t="n">
        <x:v>33</x:v>
      </x:c>
      <x:c r="B37" s="73" t="str">
        <x:v>buick-lucerne-ignition-switch-can-slip-out-run-position</x:v>
      </x:c>
      <x:c r="C37" s="73" t="str">
        <x:v>2006-2011 | Buick | Lucerne</x:v>
      </x:c>
      <x:c r="D37" s="73" t="str">
        <x:v>Ignition Switch Can Slip Out of Run Position</x:v>
      </x:c>
      <x:c r="E37" s="73" t="str">
        <x:v>On 2006-2011 Lucernes, the weight of keys on the ring combined with a jarring bump or rough road can knock the ignition switch out of the 'run' position. This shuts off the engine while driving and disables power assist. If the switch is not in run, the airbags may not deploy in a crash.</x:v>
      </x:c>
      <x:c r="F37" s="73" t="str">
        <x:v>Covered under NHTSA recall 14V355000 (part of GM's large 2014 ignition-switch campaign). Dealers inspect/replace the ignition key/switch components. As an interim measure GM advised drivers to use only the ignition key with nothing else on the ring until the remedy was performed.</x:v>
      </x:c>
      <x:c r="G37" s="73" t="str">
        <x:v>Engine suddenly shuts off while driving
Loss of power steering and power brakes
Warning lights flash
Airbag warning light
Key can be bumped out of run position</x:v>
      </x:c>
      <x:c r="H37" s="73" t="str"/>
      <x:c r="I37" s="89" t="n">
        <x:v>0</x:v>
      </x:c>
      <x:c r="J37" s="92" t="str">
        <x:v>PENDING — read full How to Fix</x:v>
      </x:c>
      <x:c r="K37" s="73" t="str"/>
      <x:c r="L37" s="73" t="str">
        <x:v>Needs review</x:v>
      </x:c>
      <x:c r="M37" s="73" t="str"/>
    </x:row>
    <x:row r="38" ht="115" customHeight="1">
      <x:c r="A38" s="73" t="n">
        <x:v>34</x:v>
      </x:c>
      <x:c r="B38" s="73" t="str">
        <x:v>buick-lucerne-instrument-cluster-hard-to-read-daylight</x:v>
      </x:c>
      <x:c r="C38" s="73" t="str">
        <x:v>2006-2008 | Buick | Lucerne</x:v>
      </x:c>
      <x:c r="D38" s="73" t="str">
        <x:v>Instrument Cluster Hard to Read in Daylight</x:v>
      </x:c>
      <x:c r="E38" s="73" t="str">
        <x:v>A widely reported complaint on 2006-2008 Lucernes is that the speedometer, odometer, and gauges wash out and become nearly impossible to read in bright daylight (the daytime markings are low-contrast white, while night illumination is clear green). Some owners reported drifting out of their lane while trying to read their speed, raising a safety concern. Inaccurate tachometer and outside-temperature readings were also reported.</x:v>
      </x:c>
      <x:c r="F38" s="73" t="str">
        <x:v>GM's remedy is replacement of the instrument panel cluster (IPC) with a revised version that has larger, higher-contrast numerals. The replacement is easier to read in daylight, though it still does not fully illuminate during the day.</x:v>
      </x:c>
      <x:c r="G38" s="73" t="str">
        <x:v>Speedometer/gauges washed out and unreadable in daylight
Gauges clear and green at night but dim in sun
Inaccurate tachometer or outside temperature reading</x:v>
      </x:c>
      <x:c r="H38" s="73" t="str"/>
      <x:c r="I38" s="89" t="n">
        <x:v>0</x:v>
      </x:c>
      <x:c r="J38" s="92" t="str">
        <x:v>PENDING — read full How to Fix</x:v>
      </x:c>
      <x:c r="K38" s="73" t="str"/>
      <x:c r="L38" s="73" t="str">
        <x:v>Needs review</x:v>
      </x:c>
      <x:c r="M38" s="73" t="str"/>
    </x:row>
    <x:row r="39" ht="115" customHeight="1">
      <x:c r="A39" s="73" t="n">
        <x:v>35</x:v>
      </x:c>
      <x:c r="B39" s="73" t="str">
        <x:v>buick-lucerne-intermediate-steering-shaft-clunk-during-slow-turns</x:v>
      </x:c>
      <x:c r="C39" s="73" t="str">
        <x:v>2006-2009 | Buick | Lucerne</x:v>
      </x:c>
      <x:c r="D39" s="73" t="str">
        <x:v>Intermediate Steering Shaft Clunk During Slow Turns</x:v>
      </x:c>
      <x:c r="E39" s="73" t="str">
        <x:v>Owners frequently report a clunk, knock, or rubbing noise/feel when turning the wheel at low speeds, most noticeable in parking-lot maneuvers. The cause is worn or improperly seated U-joints (cardan joint) in the intermediate steering shaft between the column and the rack, not the steering gear itself.</x:v>
      </x:c>
      <x:c r="F39" s="73" t="str">
        <x:v>GM TSB 06-02-35-009H covers this. Early remedy was to lubricate/realign the cardan joint; the durable fix is replacing the intermediate steering shaft with the updated design (GM P/N 25810450). The TSB explicitly advises against replacing the steering rack for this noise.</x:v>
      </x:c>
      <x:c r="G39" s="73" t="str">
        <x:v>Clunk or knock from the steering column when turning slowly
Rubbing feel in the wheel during parking maneuvers
Noise worst at low speed left/right turns</x:v>
      </x:c>
      <x:c r="H39" s="73" t="str"/>
      <x:c r="I39" s="89" t="n">
        <x:v>0</x:v>
      </x:c>
      <x:c r="J39" s="92" t="str">
        <x:v>PENDING — read full How to Fix</x:v>
      </x:c>
      <x:c r="K39" s="73" t="str"/>
      <x:c r="L39" s="73" t="str">
        <x:v>Needs review</x:v>
      </x:c>
      <x:c r="M39" s="73" t="str"/>
    </x:row>
    <x:row r="40" ht="115" customHeight="1">
      <x:c r="A40" s="73" t="n">
        <x:v>36</x:v>
      </x:c>
      <x:c r="B40" s="73" t="str">
        <x:v>buick-lucerne-northstar-4-6l-v8-head-gasket-head-bolt-thread-failure</x:v>
      </x:c>
      <x:c r="C40" s="73" t="str">
        <x:v>2006-2011 | Buick | Lucerne</x:v>
      </x:c>
      <x:c r="D40" s="73" t="str">
        <x:v>Northstar 4.6L V8 Head Gasket / Head Bolt Thread Failure</x:v>
      </x:c>
      <x:c r="E40" s="73" t="str">
        <x:v>On V8 (4.6L Northstar) Lucernes, the aluminum block's head-bolt threads can strip, allowing the head gaskets to lose clamping force and fail. This typically shows up between roughly 100,000-160,000 miles as overheating, coolant loss with no visible external leak, and combustion gases in the cooling system. It is a known structural weakness of the Northstar, not a simple gasket wear-out.</x:v>
      </x:c>
      <x:c r="F40" s="73" t="str">
        <x:v>Proper repair requires removing the heads and installing oversized thread inserts (e.g., a head-stud/Time-Sert kit) before fitting new head gaskets. This is labor-intensive (engine often pulled), so repair bills commonly run several thousand dollars; some owners replace the engine instead.</x:v>
      </x:c>
      <x:c r="G40" s="73" t="str">
        <x:v>Engine overheating
Coolant level drops with no visible leak
White smoke from exhaust
Milky/foamy oil
Bubbles in coolant reservoir
Rough running / misfire</x:v>
      </x:c>
      <x:c r="H40" s="73" t="str"/>
      <x:c r="I40" s="89" t="n">
        <x:v>0</x:v>
      </x:c>
      <x:c r="J40" s="92" t="str">
        <x:v>PENDING — read full How to Fix</x:v>
      </x:c>
      <x:c r="K40" s="73" t="str"/>
      <x:c r="L40" s="73" t="str">
        <x:v>Needs review</x:v>
      </x:c>
      <x:c r="M40" s="73" t="str"/>
    </x:row>
    <x:row r="41" ht="115" customHeight="1">
      <x:c r="A41" s="73" t="n">
        <x:v>37</x:v>
      </x:c>
      <x:c r="B41" s="73" t="str">
        <x:v>buick-lucerne-northstar-head-bolt</x:v>
      </x:c>
      <x:c r="C41" s="73" t="str">
        <x:v>2006-2011 | Buick | Lucerne | CXS, Super, Special Edition | 4.6L L37 Northstar V8</x:v>
      </x:c>
      <x:c r="D41" s="73" t="str">
        <x:v>Lucerne Northstar V8 Head Bolt Pull / Coolant Loss</x:v>
      </x:c>
      <x:c r="E41" s="73" t="str">
        <x:v>The 4.6L Northstar V8 in 2006-2011 Lucerne CXS/Super (and STS, DTS, Cadillac SLS) is known for head-bolt thread pull from the aluminum block. Bolts back out of the block (rather than head gasket failing outright), allowing combustion gases into the coolant. Symptoms: coolant loss, white smoke, overheating, eventually no-start.</x:v>
      </x:c>
      <x:c r="F41" s="73" t="str">
        <x:v>Northstar "time-sert" head bolt repair is the durable fix — block must be removed (engine out or in some cases above-engine work), threads drilled out, larger steel inserts installed. $3,500-$6,000 specialist labor. Some owners try "Block-Tite" / sealants as a band-aid; not durable. Watch coolant level monthly.</x:v>
      </x:c>
      <x:c r="G41" s="73" t="str">
        <x:v>white smoke
coolant loss
overheating
sweet exhaust smell
rough running</x:v>
      </x:c>
      <x:c r="H41" s="73" t="str">
        <x:v>P0301, P0302, P0303, P0304</x:v>
      </x:c>
      <x:c r="I41" s="89" t="n">
        <x:v>0</x:v>
      </x:c>
      <x:c r="J41" s="92" t="str">
        <x:v>PENDING — read full How to Fix</x:v>
      </x:c>
      <x:c r="K41" s="73" t="str"/>
      <x:c r="L41" s="73" t="str">
        <x:v>Needs review</x:v>
      </x:c>
      <x:c r="M41" s="73" t="str"/>
    </x:row>
    <x:row r="42" ht="115" customHeight="1">
      <x:c r="A42" s="73" t="n">
        <x:v>38</x:v>
      </x:c>
      <x:c r="B42" s="73" t="str">
        <x:v>buick-lucerne-rear-air-self-leveling-suspension-failure</x:v>
      </x:c>
      <x:c r="C42" s="73" t="str">
        <x:v>2006-2011 | Buick | Lucerne</x:v>
      </x:c>
      <x:c r="D42" s="73" t="str">
        <x:v>Rear Air Self-Leveling Suspension Failure (Sagging Rear)</x:v>
      </x:c>
      <x:c r="E42" s="73" t="str">
        <x:v>Lucernes with the rear automatic load-leveling air suspension (common on CXL/CXS) develop a sagging or uneven rear ride height as the system ages. Causes include leaking air shocks, a failed air compressor, a stuck relief solenoid (built into the compressor and not separately serviceable), height-sensor faults, or leaks in the air lines—road grime over time is a common contributor.</x:v>
      </x:c>
      <x:c r="F42" s="73" t="str">
        <x:v>Diagnose the specific failure point: replace leaking air shocks, the height sensor, or the air compressor (the relief valve is integral to the compressor, so a stuck valve means a full compressor replacement). Some owners convert to conventional non-air shocks/coils to eliminate the system.</x:v>
      </x:c>
      <x:c r="G42" s="73" t="str">
        <x:v>Rear end sits low or sags, especially when loaded
Rear does not rise/level after start-up
Harsh 'rides like a tank' rear ride
Compressor runs continuously or not at all</x:v>
      </x:c>
      <x:c r="H42" s="73" t="str"/>
      <x:c r="I42" s="89" t="n">
        <x:v>0</x:v>
      </x:c>
      <x:c r="J42" s="92" t="str">
        <x:v>PENDING — read full How to Fix</x:v>
      </x:c>
      <x:c r="K42" s="73" t="str"/>
      <x:c r="L42" s="73" t="str">
        <x:v>Needs review</x:v>
      </x:c>
      <x:c r="M42" s="73" t="str"/>
    </x:row>
    <x:row r="43" ht="115" customHeight="1">
      <x:c r="A43" s="73" t="n">
        <x:v>39</x:v>
      </x:c>
      <x:c r="B43" s="73" t="str">
        <x:v>buick-lucerne-throttle-body-throttle-position-sensor-causing-reduced-engin</x:v>
      </x:c>
      <x:c r="C43" s="73" t="str">
        <x:v>2006-2011 | Buick | Lucerne</x:v>
      </x:c>
      <x:c r="D43" s="73" t="str">
        <x:v>Throttle Body / Throttle Position Sensor Causing Reduced Engine Power</x:v>
      </x:c>
      <x:c r="E43" s="73" t="str">
        <x:v>A failing electronic throttle body or throttle position sensor triggers a 'Reduced Engine Power' message and limp mode, with rough or surging idle and hesitant acceleration. The condition is common enough that GM issued a special coverage adjustment extending the throttle body warranty on some 2009-2011 cars.</x:v>
      </x:c>
      <x:c r="F43" s="73" t="str">
        <x:v>Clean the throttle body first; if the TPS/electronic throttle body has failed, replace it and perform the required throttle relearn so the computer sets correct idle and full-throttle positions. GM Special Coverage extended this to 10 years / 120,000 miles on covered 2009-2011 models.</x:v>
      </x:c>
      <x:c r="G43" s="73" t="str">
        <x:v>'Reduced Engine Power' message
Limp mode / very limited acceleration
Rough or surging idle, RPM jumping
Hesitation on acceleration
Check engine light</x:v>
      </x:c>
      <x:c r="H43" s="73" t="str">
        <x:v>P1516, P2101, P2135</x:v>
      </x:c>
      <x:c r="I43" s="89" t="n">
        <x:v>0</x:v>
      </x:c>
      <x:c r="J43" s="92" t="str">
        <x:v>PENDING — read full How to Fix</x:v>
      </x:c>
      <x:c r="K43" s="73" t="str"/>
      <x:c r="L43" s="73" t="str">
        <x:v>Needs review</x:v>
      </x:c>
      <x:c r="M43" s="73" t="str"/>
    </x:row>
    <x:row r="44" ht="115" customHeight="1">
      <x:c r="A44" s="73" t="n">
        <x:v>40</x:v>
      </x:c>
      <x:c r="B44" s="73" t="str">
        <x:v>buick-regal-2.0t-timing-chain-ltg</x:v>
      </x:c>
      <x:c r="C44" s="73" t="str">
        <x:v>2011-2017 | Buick | Regal | GS, Premium, Turbo, Sport Touring | 2.0L Turbo LHU, 2.0L Turbo LTG</x:v>
      </x:c>
      <x:c r="D44" s="73" t="str">
        <x:v>Regal 2.0L Turbo (LHU/LTG) Timing Chain Stretch</x:v>
      </x:c>
      <x:c r="E44" s="73" t="str">
        <x:v>The 2.0L Turbo LHU (2011-2014) and LTG (2014+) in Regal — and shared LaCrosse, Cadillac ATS/CTS — develops timing chain stretch around 80,000-130,000 miles. Symptoms: cold-start rattle, P0008/P0017 codes, eventual loss of cam timing. Aggravated by extended oil intervals and stop-start fleet use.</x:v>
      </x:c>
      <x:c r="F44" s="73" t="str">
        <x:v>Full timing chain kit including chain, tensioner, guides, sprockets — $1,800-$3,000 at independent. Stick to 5,000-7,500 mile oil intervals with dexos1 full-synthetic 5W-30. Carbon-clean intake valves at the same service ($300-$500) since LHU/LTG are direct-injection.</x:v>
      </x:c>
      <x:c r="G44" s="73" t="str">
        <x:v>cold start rattle
misfire
check engine light
reduced power</x:v>
      </x:c>
      <x:c r="H44" s="73" t="str">
        <x:v>P0008, P0009, P0016, P0017</x:v>
      </x:c>
      <x:c r="I44" s="89" t="n">
        <x:v>0</x:v>
      </x:c>
      <x:c r="J44" s="92" t="str">
        <x:v>PENDING — read full How to Fix</x:v>
      </x:c>
      <x:c r="K44" s="73" t="str"/>
      <x:c r="L44" s="73" t="str">
        <x:v>Needs review</x:v>
      </x:c>
      <x:c r="M44" s="73" t="str"/>
    </x:row>
    <x:row r="45" ht="115" customHeight="1">
      <x:c r="A45" s="73" t="n">
        <x:v>41</x:v>
      </x:c>
      <x:c r="B45" s="73" t="str">
        <x:v>buick-regal-6t70-6t40-automatic-transmission-shudder-slipping-hard-shift</x:v>
      </x:c>
      <x:c r="C45" s="73" t="str">
        <x:v>2011-2017 | Buick | Regal</x:v>
      </x:c>
      <x:c r="D45" s="73" t="str">
        <x:v>6T70/6T40 Automatic Transmission Shudder, Slipping &amp; Hard Shifts</x:v>
      </x:c>
      <x:c r="E45" s="73" t="str">
        <x:v>Regals equipped with the GM 6T40/6T70 six-speed automatic can develop torque-converter shudder, slipping or flare on the 2-6 shift, and harsh/delayed shifts. The 6T40 issue is commonly debris blocking the 2-6 clutch regulator valve circuit; the 6T70 suffers wear in the accumulator/solenoid valve bores and torque-converter clutch shudder, sometimes worsened by overheated, degraded fluid.</x:v>
      </x:c>
      <x:c r="F45" s="73" t="str">
        <x:v>Start with a full transmission fluid/filter service (fixes many shudder cases). Persistent problems require valve body cleaning/rebuild, accumulator bore repair, or torque converter replacement. Use only the correct GM spec fluid.</x:v>
      </x:c>
      <x:c r="G45" s="73" t="str">
        <x:v>Shudder/vibration under light acceleration
Slipping or RPM flare between gears
Hard or delayed shifts
Surge when shifting into/out of 2nd or 6th</x:v>
      </x:c>
      <x:c r="H45" s="73" t="str"/>
      <x:c r="I45" s="89" t="n">
        <x:v>0</x:v>
      </x:c>
      <x:c r="J45" s="92" t="str">
        <x:v>PENDING — read full How to Fix</x:v>
      </x:c>
      <x:c r="K45" s="73" t="str"/>
      <x:c r="L45" s="73" t="str">
        <x:v>Needs review</x:v>
      </x:c>
      <x:c r="M45" s="73" t="str"/>
    </x:row>
    <x:row r="46" ht="115" customHeight="1">
      <x:c r="A46" s="73" t="n">
        <x:v>42</x:v>
      </x:c>
      <x:c r="B46" s="73" t="str">
        <x:v>buick-regal-aisin-af40-transmission</x:v>
      </x:c>
      <x:c r="C46" s="73" t="str">
        <x:v>2011-2017 | Buick | Regal | CXL, GS, Premium, Turbo | 2.0L Turbo, 2.4L, 3.6L V6</x:v>
      </x:c>
      <x:c r="D46" s="73" t="str">
        <x:v>Regal Aisin AF40 6-Speed Harsh Shifts / Shudder</x:v>
      </x:c>
      <x:c r="E46" s="73" t="str">
        <x:v>The Aisin AF40 6-speed automatic in 2011-2017 Regal (and 2010-2017 LaCrosse 4-cyl, 2008-2017 Opel Insignia A) develops harsh 1-2 and 2-3 shifts, torque-converter shudder at light throttle, and delayed engagement, usually 80,000-150,000 miles. GM's "lifetime fill" claim is widely disputed by independent shops.</x:v>
      </x:c>
      <x:c r="F46" s="73" t="str">
        <x:v>Drain-and-fill ATF every 50,000 miles using AC Delco / Aisin AFW+ (or JWS3309 equivalent) — about $150-$250 DIY (5-6 qt drained per service). Severe shudder may need torque converter or valve body work ($1,500-$3,500). If neglected past 120k miles, full rebuild may be required ($3,500-$5,500).</x:v>
      </x:c>
      <x:c r="G46" s="73" t="str">
        <x:v>harsh shifts
torque converter shudder
delayed engagement
flare on upshift</x:v>
      </x:c>
      <x:c r="H46" s="73" t="str">
        <x:v>P0741, P0746, P0776</x:v>
      </x:c>
      <x:c r="I46" s="89" t="n">
        <x:v>0</x:v>
      </x:c>
      <x:c r="J46" s="92" t="str">
        <x:v>PENDING — read full How to Fix</x:v>
      </x:c>
      <x:c r="K46" s="73" t="str"/>
      <x:c r="L46" s="73" t="str">
        <x:v>Needs review</x:v>
      </x:c>
      <x:c r="M46" s="73" t="str"/>
    </x:row>
    <x:row r="47" ht="115" customHeight="1">
      <x:c r="A47" s="73" t="n">
        <x:v>43</x:v>
      </x:c>
      <x:c r="B47" s="73" t="str">
        <x:v>buick-regal-carbon-buildup-intake-valves</x:v>
      </x:c>
      <x:c r="C47" s="73" t="str">
        <x:v>2011-2017 | Buick | Regal</x:v>
      </x:c>
      <x:c r="D47" s="73" t="str">
        <x:v>Carbon Buildup on Intake Valves (Direct Injection)</x:v>
      </x:c>
      <x:c r="E47" s="73" t="str">
        <x:v>Like other GM direct-injected engines, the Regal's 2.0T and 2.4L DI engines accumulate carbon deposits on the back of the intake valves because fuel no longer washes the valves clean. Over tens of thousands of miles this causes cold-start misfires, rough idle, hesitation, and reduced power and economy. It is a well-documented owner complaint on the turbo cars in particular.</x:v>
      </x:c>
      <x:c r="F47" s="73" t="str">
        <x:v>Perform a walnut-blasting / manual intake valve cleaning (or chemical induction service in milder cases). Updated engine-management software and periodic intake cleaning help slow recurrence; catch-can installation reduces future buildup.</x:v>
      </x:c>
      <x:c r="G47" s="73" t="str">
        <x:v>Cold-start misfire / stumble
Rough idle
Hesitation on acceleration
Reduced power and fuel economy
Misfire codes</x:v>
      </x:c>
      <x:c r="H47" s="73" t="str">
        <x:v>P0300, P0301, P0302, P0303, P0304</x:v>
      </x:c>
      <x:c r="I47" s="89" t="n">
        <x:v>0</x:v>
      </x:c>
      <x:c r="J47" s="92" t="str">
        <x:v>PENDING — read full How to Fix</x:v>
      </x:c>
      <x:c r="K47" s="73" t="str"/>
      <x:c r="L47" s="73" t="str">
        <x:v>Needs review</x:v>
      </x:c>
      <x:c r="M47" s="73" t="str"/>
    </x:row>
    <x:row r="48" ht="115" customHeight="1">
      <x:c r="A48" s="73" t="n">
        <x:v>44</x:v>
      </x:c>
      <x:c r="B48" s="73" t="str">
        <x:v>buick-regal-excessive-oil-consumption-2-4l-ecotec</x:v>
      </x:c>
      <x:c r="C48" s="73" t="str">
        <x:v>2011-2013 | Buick | Regal</x:v>
      </x:c>
      <x:c r="D48" s="73" t="str">
        <x:v>Excessive Oil Consumption on 2.4L Ecotec</x:v>
      </x:c>
      <x:c r="E48" s="73" t="str">
        <x:v>2011-2013 Regals with the naturally-aspirated 2.4L Ecotec four-cylinder are documented to burn oil at an abnormal rate, with some owners reporting a quart consumed every 1,000-2,000 miles or worse. The problem is tied to worn piston rings/PCV design on this engine family. GM issued a TSB on the condition, but dealers often deemed anything better than ~2,000 miles/quart acceptable and denied warranty repairs. A related GM oil-burn class action covered the Equinox/Terrain but not the Regal, despite the shared engine.</x:v>
      </x:c>
      <x:c r="F48" s="73" t="str">
        <x:v>GM TSB diagnostic involves an oil consumption test; remedies range from PCV/valve cover updates to piston and ring replacement. Owners commonly manage it by checking oil frequently and topping off, or rebuilding the short block in severe cases.</x:v>
      </x:c>
      <x:c r="G48" s="73" t="str">
        <x:v>Frequent need to add oil between changes
Low oil pressure / oil light
Blue smoke from exhaust
Fouled spark plugs</x:v>
      </x:c>
      <x:c r="H48" s="73" t="str"/>
      <x:c r="I48" s="89" t="n">
        <x:v>0</x:v>
      </x:c>
      <x:c r="J48" s="92" t="str">
        <x:v>PENDING — read full How to Fix</x:v>
      </x:c>
      <x:c r="K48" s="73" t="str"/>
      <x:c r="L48" s="73" t="str">
        <x:v>Needs review</x:v>
      </x:c>
      <x:c r="M48" s="73" t="str"/>
    </x:row>
    <x:row r="49" ht="115" customHeight="1">
      <x:c r="A49" s="73" t="n">
        <x:v>45</x:v>
      </x:c>
      <x:c r="B49" s="73" t="str">
        <x:v>buick-regal-loss-power-brake-assist-ebcm-software-defect</x:v>
      </x:c>
      <x:c r="C49" s="73" t="str">
        <x:v>2018-2020 | Buick | Regal</x:v>
      </x:c>
      <x:c r="D49" s="73" t="str">
        <x:v>Loss of Power Brake Assist — EBCM Software Defect (Recall)</x:v>
      </x:c>
      <x:c r="E49" s="73" t="str">
        <x:v>2018-2020 fifth-generation Regals (Sportback/TourX) were recalled because a software error in the electronic brake control module (EBCM) may fail to activate the hydraulic-brake boost backup if vacuum brake assist is lost. The result is a hard, high-effort brake pedal with substantially reduced braking performance and increased stopping distance. GM recalled roughly 23,734 vehicles (NHTSA 22V-xxx, July 2022).</x:v>
      </x:c>
      <x:c r="F49" s="73" t="str">
        <x:v>Dealers reprogram/update the EBCM software at no cost; no replacement parts required. Owners should verify the recall has been completed via VIN.</x:v>
      </x:c>
      <x:c r="G49" s="73" t="str">
        <x:v>Hard or stiff brake pedal
Increased pedal effort needed to stop
Longer stopping distances
Brake warning indicators</x:v>
      </x:c>
      <x:c r="H49" s="73" t="str"/>
      <x:c r="I49" s="89" t="n">
        <x:v>0</x:v>
      </x:c>
      <x:c r="J49" s="92" t="str">
        <x:v>PENDING — read full How to Fix</x:v>
      </x:c>
      <x:c r="K49" s="73" t="str"/>
      <x:c r="L49" s="73" t="str">
        <x:v>Needs review</x:v>
      </x:c>
      <x:c r="M49" s="73" t="str"/>
    </x:row>
    <x:row r="50" ht="115" customHeight="1">
      <x:c r="A50" s="73" t="n">
        <x:v>46</x:v>
      </x:c>
      <x:c r="B50" s="73" t="str">
        <x:v>buick-regal-rear-suspension-toe-link-corrosion-fracture</x:v>
      </x:c>
      <x:c r="C50" s="73" t="str">
        <x:v>2011-2013 | Buick | Regal</x:v>
      </x:c>
      <x:c r="D50" s="73" t="str">
        <x:v>Rear Suspension Toe Link Corrosion / Fracture (Salt-Belt Recall)</x:v>
      </x:c>
      <x:c r="E50" s="73" t="str">
        <x:v>Certain 2011-2013 Regals (including Turbo and GS) have rear suspension toe links manufactured with inadequate e-coat corrosion protection. In road-salt states, the toe link can corrode and eventually fracture, causing a sudden loss of rear-wheel control. This has been the subject of repeated GM recalls (2021 campaign 21V423 and a third recall in 2026 covering ~17,050 additional 2012-2013 Turbo/GS vehicles), making it one of the most safety-significant Regal defects.</x:v>
      </x:c>
      <x:c r="F50" s="73" t="str">
        <x:v>Under recall, dealers replace the rear suspension toe links and adjuster fasteners at no cost. Out of recall scope, replace corroded toe links with new parts.</x:v>
      </x:c>
      <x:c r="G50" s="73" t="str">
        <x:v>Clunking or looseness from rear suspension
Rear-end wandering or instability
Visible rust/corrosion on rear toe link
Sudden loss of vehicle control if link fractures</x:v>
      </x:c>
      <x:c r="H50" s="73" t="str"/>
      <x:c r="I50" s="89" t="n">
        <x:v>0</x:v>
      </x:c>
      <x:c r="J50" s="92" t="str">
        <x:v>PENDING — read full How to Fix</x:v>
      </x:c>
      <x:c r="K50" s="73" t="str"/>
      <x:c r="L50" s="73" t="str">
        <x:v>Needs review</x:v>
      </x:c>
      <x:c r="M50" s="73" t="str"/>
    </x:row>
    <x:row r="51" ht="115" customHeight="1">
      <x:c r="A51" s="73" t="n">
        <x:v>47</x:v>
      </x:c>
      <x:c r="B51" s="73" t="str">
        <x:v>buick-regal-sudden-loss-electric-power-steering-assist</x:v>
      </x:c>
      <x:c r="C51" s="73" t="str">
        <x:v>2016-2016 | Buick | Regal</x:v>
      </x:c>
      <x:c r="D51" s="73" t="str">
        <x:v>Sudden Loss of Electric Power Steering Assist (Recall)</x:v>
      </x:c>
      <x:c r="E51" s="73" t="str">
        <x:v>GM recalled certain 2016 Regals (built Aug 2015 – Feb 2016) because a defective circuit board in the electric belt-drive rack-and-pinion steering gear could cause a sudden loss of power steering assist, sharply increasing steering effort and crash risk. Owners have also reported steering jolting or locking at speed. Beyond the formal recall, electric power steering faults (e.g., P3055/P3056 'Steering Assist Reduced' messages) are reported on later Regals.</x:v>
      </x:c>
      <x:c r="F51" s="73" t="str">
        <x:v>Under recall 21510, dealers replace the electric belt-drive rack-and-pinion steering gear assembly free of charge. Non-recall failures require diagnosis of the steering rack motor/module and replacement.</x:v>
      </x:c>
      <x:c r="G51" s="73" t="str">
        <x:v>'Steering Assist Reduced' warning message
Sudden heavy/stiff steering
Steering jolting or pulling to one side
Loss of power assist at speed</x:v>
      </x:c>
      <x:c r="H51" s="73" t="str">
        <x:v>P3055, P3056</x:v>
      </x:c>
      <x:c r="I51" s="89" t="n">
        <x:v>0</x:v>
      </x:c>
      <x:c r="J51" s="92" t="str">
        <x:v>PENDING — read full How to Fix</x:v>
      </x:c>
      <x:c r="K51" s="73" t="str"/>
      <x:c r="L51" s="73" t="str">
        <x:v>Needs review</x:v>
      </x:c>
      <x:c r="M51" s="73" t="str"/>
    </x:row>
    <x:row r="52" ht="115" customHeight="1">
      <x:c r="A52" s="73" t="n">
        <x:v>48</x:v>
      </x:c>
      <x:c r="B52" s="73" t="str">
        <x:v>buick-regal-timing-chain-tensioner-failure-2-0t-turbo</x:v>
      </x:c>
      <x:c r="C52" s="73" t="str">
        <x:v>2011-2013 | Buick | Regal</x:v>
      </x:c>
      <x:c r="D52" s="73" t="str">
        <x:v>Timing Chain / Tensioner Failure on 2.0T Turbo (LHU/LNF)</x:v>
      </x:c>
      <x:c r="E52" s="73" t="str">
        <x:v>On 2011-2013 Regals with the 2.0L turbocharged direct-injection engine, the timing chain tensioner and the small bolts securing it into the aluminum cylinder head can loosen or shear, allowing the chain to stretch or jump time. This frequently causes catastrophic internal damage including bent valves and lost compression, often with little or no warning. Owners report failures as early as ~35,000 miles, sometimes just outside the powertrain warranty. Contributing factors include the early oil-life-monitor intervals being too long for this soot-heavy DI engine (GM later shortened recommended intervals).</x:v>
      </x:c>
      <x:c r="F52" s="73" t="str">
        <x:v>Replace the timing chain, tensioner, guides and any damaged valvetrain components; severe cases require partial or full engine rebuild. Preventively, change oil more frequently (~5,000 miles) and address any P0008/P0016/P0017 codes immediately before the chain jumps time.</x:v>
      </x:c>
      <x:c r="G52" s="73" t="str">
        <x:v>Rattling or whine from front of engine
Check engine light
Rough running / misfire
No-start after chain jumps
Sudden engine shutdown / catastrophic failure with no prior warning</x:v>
      </x:c>
      <x:c r="H52" s="73" t="str">
        <x:v>P0008, P0016, P0017</x:v>
      </x:c>
      <x:c r="I52" s="89" t="n">
        <x:v>0</x:v>
      </x:c>
      <x:c r="J52" s="92" t="str">
        <x:v>PENDING — read full How to Fix</x:v>
      </x:c>
      <x:c r="K52" s="73" t="str"/>
      <x:c r="L52" s="73" t="str">
        <x:v>Needs review</x:v>
      </x:c>
      <x:c r="M52" s="73" t="str"/>
    </x:row>
    <x:row r="53" ht="115" customHeight="1">
      <x:c r="A53" s="73" t="n">
        <x:v>49</x:v>
      </x:c>
      <x:c r="B53" s="73" t="str">
        <x:v>buick-roadmaster-4l60e-automatic-transmission-wear</x:v>
      </x:c>
      <x:c r="C53" s="73" t="str">
        <x:v>1994-1996 | Buick | Roadmaster | Roadmaster Sedan, Roadmaster Estate Wagon, Roadmaster Limited | 5.7L LT1 V8 (Gen II)</x:v>
      </x:c>
      <x:c r="D53" s="73" t="str">
        <x:v>4L60E automatic transmission wear (valve body, sprag, harsh shift/no downshift)</x:v>
      </x:c>
      <x:c r="E53" s="73" t="str">
        <x:v>The electronically controlled 4L60E behind the LT1 is the drivetrain's weak point at high mileage. Common failures include valve-body wear (notably in the TCC/lockup PWM bore), a weak forward sprag, worn clutch packs, and the '3-4' clutch / sunshell. Symptoms range from harsh 1-2 shifts (ECU commanding max line pressure to mask bore wear) to failing to downshift into first at a stop, then bogging when pulling away.</x:v>
      </x:c>
      <x:c r="F53" s="73" t="str">
        <x:v>For early valve-body symptoms, a valve body rebuild/updated valves and a fluid/filter service may suffice. For slipping or sprag/clutch failure, a full rebuild with upgraded hard parts (sunshell, sprag) is the accepted fix.</x:v>
      </x:c>
      <x:c r="G53" s="73" t="str">
        <x:v>Harsh or bang 1-2 shift
Won't downshift to 1st at a stop; bogs when accelerating
Slipping or flaring between gears
Delayed/no reverse engagement
Loss of overdrive</x:v>
      </x:c>
      <x:c r="H53" s="73" t="str">
        <x:v>P1870</x:v>
      </x:c>
      <x:c r="I53" s="89" t="n">
        <x:v>0</x:v>
      </x:c>
      <x:c r="J53" s="92" t="str">
        <x:v>PENDING — read full How to Fix</x:v>
      </x:c>
      <x:c r="K53" s="73" t="str"/>
      <x:c r="L53" s="73" t="str">
        <x:v>Needs review</x:v>
      </x:c>
      <x:c r="M53" s="73" t="str"/>
    </x:row>
    <x:row r="54" ht="115" customHeight="1">
      <x:c r="A54" s="73" t="n">
        <x:v>50</x:v>
      </x:c>
      <x:c r="B54" s="73" t="str">
        <x:v>buick-roadmaster-abs-hydraulic-modulator-corrosion-front-brake-fluid-leak</x:v>
      </x:c>
      <x:c r="C54" s="73" t="str">
        <x:v>1994-1996 | Buick | Roadmaster | Roadmaster Sedan, Roadmaster Estate Wagon, Roadmaster Limited | 5.7L LT1 V8 (Gen II)</x:v>
      </x:c>
      <x:c r="D54" s="73" t="str">
        <x:v>ABS hydraulic modulator corrosion / front brake fluid leak (safety recall)</x:v>
      </x:c>
      <x:c r="E54" s="73" t="str">
        <x:v>The B-body Roadmaster's ABS hydraulic modulator can internally corrode and leak brake fluid from the front brake circuit, reducing braking performance. GM issued NHTSA safety recall 97V217000 (announced November 24, 1997) covering 56,701 Roadmaster/B-body vehicles; dealers inspected and replaced the ABS modulator. Owners of surviving cars should confirm the recall was completed, as corroded modulators still surface today.</x:v>
      </x:c>
      <x:c r="F54" s="73" t="str">
        <x:v>Have the ABS modulator inspected and, if corroded/leaking, replaced (the recall remedy). Verify recall completion by VIN. Out-of-warranty, the modulator can be replaced with a known-good used or rebuilt unit and the system bled.</x:v>
      </x:c>
      <x:c r="G54" s="73" t="str">
        <x:v>Brake fluid leak / low reservoir
ABS warning light
Reduced front braking / longer stopping distance
Spongy brake pedal</x:v>
      </x:c>
      <x:c r="H54" s="73" t="str"/>
      <x:c r="I54" s="89" t="n">
        <x:v>0</x:v>
      </x:c>
      <x:c r="J54" s="92" t="str">
        <x:v>PENDING — read full How to Fix</x:v>
      </x:c>
      <x:c r="K54" s="73" t="str"/>
      <x:c r="L54" s="73" t="str">
        <x:v>Needs review</x:v>
      </x:c>
      <x:c r="M54" s="73" t="str"/>
    </x:row>
    <x:row r="55" ht="115" customHeight="1">
      <x:c r="A55" s="73" t="n">
        <x:v>51</x:v>
      </x:c>
      <x:c r="B55" s="73" t="str">
        <x:v>buick-roadmaster-estate-wagon-rear-self-leveling-air-shock-compressor-failure</x:v>
      </x:c>
      <x:c r="C55" s="73" t="str">
        <x:v>1991-1996 | Buick | Roadmaster</x:v>
      </x:c>
      <x:c r="D55" s="73" t="str">
        <x:v>Estate Wagon Rear Self-Leveling Air Shock and Compressor Failure</x:v>
      </x:c>
      <x:c r="E55" s="73" t="str">
        <x:v>The Roadmaster Estate Wagon (and some sedans equipped with the F41 package) uses an Electronic Level Control (ELC) system with rear air-adjustable shocks (GM PN 22064630), a height sensor under the driver's side rear seat, and a hood-mounted air compressor. The rubber air bladders on the shocks crack and leak with age, the connector wiring under the body corrodes and breaks, and the height sensor fails — all of which cause the compressor to run continuously (sometimes after engine shutoff), pumping the rear of the car so high that ride and handling are ruined, or leaving the rear sagging. The original PN 22064630 shock is discontinued, complicating repair.</x:v>
      </x:c>
      <x:c r="F55" s="73" t="str">
        <x:v>Diagnose first: inspect the height sensor wiring under the driver-side rear seat for broken/corroded wires, test the sensor, and check the air lines for leaks at the shock fittings. If the shocks themselves leak, the most common modern fix is a conversion kit (Strutmasters CADR3 or similar) that replaces the air shocks with passive gas shocks and either deletes the air system or splits compressor output to aftermarket air bags via a T-fitting. Replace the compressor relay or compressor if it sticks on. Many owners simply unplug the compressor and run conventional shocks to eliminate the system entirely.</x:v>
      </x:c>
      <x:c r="G55" s="73" t="str">
        <x:v>Rear of vehicle sagging or sitting too high
Air compressor runs continuously or cycles every few minutes
Compressor continues running after engine is shut off
Harsh, bouncy ride with poor handling when over-inflated
Audible air leak from rear shocks
Broken wiring at connector under driver-side rear seat</x:v>
      </x:c>
      <x:c r="H55" s="73" t="str"/>
      <x:c r="I55" s="89" t="n">
        <x:v>0</x:v>
      </x:c>
      <x:c r="J55" s="92" t="str">
        <x:v>PENDING — read full How to Fix</x:v>
      </x:c>
      <x:c r="K55" s="73" t="str"/>
      <x:c r="L55" s="73" t="str">
        <x:v>Needs review</x:v>
      </x:c>
      <x:c r="M55" s="73" t="str"/>
    </x:row>
    <x:row r="56" ht="115" customHeight="1">
      <x:c r="A56" s="73" t="n">
        <x:v>52</x:v>
      </x:c>
      <x:c r="B56" s="73" t="str">
        <x:v>buick-roadmaster-fuel-pump-tank-check-valve-failure-causing-hard-starting-low</x:v>
      </x:c>
      <x:c r="C56" s="73" t="str">
        <x:v>1994-1996 | Buick | Roadmaster | Roadmaster Sedan, Roadmaster Estate Wagon, Roadmaster Limited | 5.7L LT1 V8 (Gen II)</x:v>
      </x:c>
      <x:c r="D56" s="73" t="str">
        <x:v>Fuel pump / in-tank check valve failure causing hard starting and low pressure</x:v>
      </x:c>
      <x:c r="E56" s="73" t="str">
        <x:v>High-mileage Roadmasters develop hard-start and driveability problems traced to the in-tank fuel pump module. A healthy LT1 should show roughly 41-47 psi on prime and hold above ~35 psi after shutoff; a worn pump or a leaking anti-drainback check valve lets pressure bleed back into the tank, producing long cranking on cold/hot starts, stumble, and miss/backfire. A stuck fuel pressure relief valve can mimic the same symptoms.</x:v>
      </x:c>
      <x:c r="F56" s="73" t="str">
        <x:v>Verify fuel pressure with a gauge (prime and leak-down test) before condemning the pump. Replace the in-tank fuel pump/sending-unit module (check valve is integral); inspect the pressure relief valve. The sending unit shares the module, so a weak float/gauge reading often accompanies pump wear.</x:v>
      </x:c>
      <x:c r="G56" s="73" t="str">
        <x:v>Long cranking / hard starting hot or cold
Stumble, miss, or backfire under load
Low fuel pressure on gauge
Stalling
Inaccurate fuel gauge</x:v>
      </x:c>
      <x:c r="H56" s="73" t="str"/>
      <x:c r="I56" s="89" t="n">
        <x:v>0</x:v>
      </x:c>
      <x:c r="J56" s="92" t="str">
        <x:v>PENDING — read full How to Fix</x:v>
      </x:c>
      <x:c r="K56" s="73" t="str"/>
      <x:c r="L56" s="73" t="str">
        <x:v>Needs review</x:v>
      </x:c>
      <x:c r="M56" s="73" t="str"/>
    </x:row>
    <x:row r="57" ht="115" customHeight="1">
      <x:c r="A57" s="73" t="n">
        <x:v>53</x:v>
      </x:c>
      <x:c r="B57" s="73" t="str">
        <x:v>buick-roadmaster-lt1-intake-manifold-gasket-coolant-oil-leak</x:v>
      </x:c>
      <x:c r="C57" s="73" t="str">
        <x:v>1994-1996 | Buick | Roadmaster | Roadmaster Sedan, Roadmaster Estate Wagon, Roadmaster Limited | 5.7L LT1 V8 (Gen II)</x:v>
      </x:c>
      <x:c r="D57" s="73" t="str">
        <x:v>LT1 intake manifold gasket coolant/oil leak</x:v>
      </x:c>
      <x:c r="E57" s="73" t="str">
        <x:v>The LT1 intake manifold gasket is a known leak point on the Roadmaster. Gaskets deteriorate and seep coolant (pressurized) and, at the lower intake-to-block joint, engine oil that runs down onto the bellhousing. A contributing factor is that the intake manifold bolts are notorious for loosening, sometimes to finger-tight, so torque should be checked before replacing the gasket.</x:v>
      </x:c>
      <x:c r="F57" s="73" t="str">
        <x:v>Check and re-torque intake manifold bolts to spec first. If leaking persists, replace the intake manifold gaskets (and seals). Inspect for coolant contamination and top-end cleanliness during the job.</x:v>
      </x:c>
      <x:c r="G57" s="73" t="str">
        <x:v>Coolant loss with no obvious external radiator/hose leak
Oil seepage onto transmission bellhousing
Coolant smell
Rough idle / vacuum leak
Low coolant warnings</x:v>
      </x:c>
      <x:c r="H57" s="73" t="str"/>
      <x:c r="I57" s="89" t="n">
        <x:v>0</x:v>
      </x:c>
      <x:c r="J57" s="92" t="str">
        <x:v>PENDING — read full How to Fix</x:v>
      </x:c>
      <x:c r="K57" s="73" t="str"/>
      <x:c r="L57" s="73" t="str">
        <x:v>Needs review</x:v>
      </x:c>
      <x:c r="M57" s="73" t="str"/>
    </x:row>
    <x:row r="58" ht="115" customHeight="1">
      <x:c r="A58" s="73" t="n">
        <x:v>54</x:v>
      </x:c>
      <x:c r="B58" s="73" t="str">
        <x:v>buick-roadmaster-optispark-distributor-failure-lt1</x:v>
      </x:c>
      <x:c r="C58" s="73" t="str">
        <x:v>1994-1996 | Buick | Roadmaster | Roadmaster Sedan, Roadmaster Estate Wagon, Roadmaster Limited | 5.7L LT1 V8 (Gen II)</x:v>
      </x:c>
      <x:c r="D58" s="73" t="str">
        <x:v>Optispark (Opti-Spark) distributor failure on the LT1</x:v>
      </x:c>
      <x:c r="E58" s="73" t="str">
        <x:v>The 1994-1996 LT1 uses a camshaft-driven 'Optispark' optical distributor mounted at the front of the engine, low on the timing cover directly behind the water pump. Its optical disc and low-voltage electronics are extremely sensitive to moisture and oil. Any coolant weep from the water pump above it, a failed crankcase vent hose, engine-bay washing, or driving through water can foul the optical sensor and cause misfires. Because it sits behind the water pump, replacement is labor-intensive. This is the single most notorious LT1 (and therefore Roadmaster) driveability failure. The pre-1995 design vented poorly; a vacuum-vented unit arrived for 1995 (B-bodies got the update first).</x:v>
      </x:c>
      <x:c r="F58" s="73" t="str">
        <x:v>Replace the Optispark with an AC Delco (vented) unit, and because the water pump has to come off to access it, replace the water pump at the same time. Ensure the distributor vent hoses are correctly routed and clear so condensation can escape. Rule out spark plug wires and plugs first, as those often mimic Optispark failure.</x:v>
      </x:c>
      <x:c r="G58" s="73" t="str">
        <x:v>Engine stumble, hesitation, or surge under acceleration
Audible misfire and rough idle
Excessive vibration
Hard starting or no-start when wet
Check engine light / misfire codes</x:v>
      </x:c>
      <x:c r="H58" s="73" t="str">
        <x:v>P0300, P1345</x:v>
      </x:c>
      <x:c r="I58" s="89" t="n">
        <x:v>0</x:v>
      </x:c>
      <x:c r="J58" s="92" t="str">
        <x:v>PENDING — read full How to Fix</x:v>
      </x:c>
      <x:c r="K58" s="73" t="str"/>
      <x:c r="L58" s="73" t="str">
        <x:v>Needs review</x:v>
      </x:c>
      <x:c r="M58" s="73" t="str"/>
    </x:row>
    <x:row r="59" ht="115" customHeight="1">
      <x:c r="A59" s="74" t="n">
        <x:v>55</x:v>
      </x:c>
      <x:c r="B59" s="74" t="str">
        <x:v>buick-roadmaster-reverse-flow-cooling-water-pump-shaft-seal-leak-air-lock-ove</x:v>
      </x:c>
      <x:c r="C59" s="74" t="str">
        <x:v>1994-1996 | Buick | Roadmaster | Roadmaster Sedan, Roadmaster Estate Wagon, Roadmaster Limited | 5.7L LT1 V8 (Gen II)</x:v>
      </x:c>
      <x:c r="D59" s="74" t="str">
        <x:v>Reverse-flow cooling: water pump shaft seal leak and air-lock overheating</x:v>
      </x:c>
      <x:c r="E59" s="74" t="str">
        <x:v>The LT1 uses a reverse-flow cooling system with a camshaft-driven water pump. Two age-related problems dominate. First, the water pump driveshaft seal commonly begins to weep coolant around 60,000+ miles; because the pump sits above the Optispark, a leaking seal frequently kills the distributor too. Second, the reverse-flow system readily traps air when refilled; if the trapped air keeps coolant off the sensor/thermostat area, the engine can overheat even with a 'full' radiator.</x:v>
      </x:c>
      <x:c r="F59" s="74" t="str">
        <x:v>Replace the water pump (use special seal tool J39087 if only resealing, otherwise install a complete pump). When refilling coolant, open the bleeder screw on the thermostat housing to purge trapped air. Address any weep promptly to protect the Optispark below it.</x:v>
      </x:c>
      <x:c r="G59" s="74" t="str">
        <x:v>Coolant weep/drip at front of engine
Coolant loss and low reservoir
Overheating after a coolant refill despite full radiator
Temperature gauge climbing in traffic
Sweet coolant smell</x:v>
      </x:c>
      <x:c r="H59" s="74" t="str"/>
      <x:c r="I59" s="90" t="n">
        <x:v>0</x:v>
      </x:c>
      <x:c r="J59" s="93" t="str">
        <x:v>PENDING — read full How to Fix</x:v>
      </x:c>
      <x:c r="K59" s="74" t="str"/>
      <x:c r="L59" s="74" t="str">
        <x:v>Needs review</x:v>
      </x:c>
      <x:c r="M59" s="74" t="str"/>
    </x:row>
  </x:sheetData>
  <x:mergeCells>
    <x:mergeCell ref="A1:M1"/>
    <x:mergeCell ref="A2:M2"/>
  </x:mergeCells>
  <x:conditionalFormatting sqref="L5:L59">
    <x:cfRule type="containsText" dxfId="2" priority="1" operator="containsText" text="Needs review"/>
  </x:conditionalFormatting>
  <x:dataValidations count="1">
    <x:dataValidation type="list" sqref="L5:L59">
      <x:formula1>"Needs review,Agree,Find replacement,Hold,Edit source content"</x:formula1>
    </x:dataValidation>
  </x:dataValidations>
  <x:pageMargins left="0.7" right="0.7" top="0.75" bottom="0.75" header="0.3" footer="0.3"/>
  <x:tableParts count="1">
    <x:tablePart xmlns:r="http://schemas.openxmlformats.org/officeDocument/2006/relationships" r:id="Rd17007221453458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78" hidden="0" customWidth="1"/>
    <x:col min="3" max="3" width="4" hidden="0" customWidth="1"/>
    <x:col min="4" max="4" width="4" hidden="0" customWidth="1"/>
    <x:col min="5" max="5" width="4" hidden="0" customWidth="1"/>
    <x:col min="6" max="6" width="4" hidden="0" customWidth="1"/>
  </x:cols>
  <x:sheetData>
    <x:row r="1">
      <x:c r="A1" s="112" t="str">
        <x:v>Repeatable Link-Finding Method</x:v>
      </x:c>
      <x:c r="B1" s="112"/>
      <x:c r="C1" s="112"/>
      <x:c r="D1" s="112"/>
      <x:c r="E1" s="112"/>
      <x:c r="F1" s="112"/>
    </x:row>
    <x:row r="2">
      <x:c r="A2" s="39"/>
      <x:c r="B2" s="39"/>
      <x:c r="C2" s="39"/>
      <x:c r="D2" s="39"/>
      <x:c r="E2" s="39"/>
      <x:c r="F2" s="39"/>
    </x:row>
    <x:row r="3">
      <x:c r="A3" s="113" t="str">
        <x:v>Step</x:v>
      </x:c>
      <x:c r="B3" s="113" t="str">
        <x:v>Required action</x:v>
      </x:c>
      <x:c r="C3" s="39"/>
      <x:c r="D3" s="39"/>
      <x:c r="E3" s="39"/>
      <x:c r="F3" s="39"/>
    </x:row>
    <x:row r="4" ht="34" customHeight="1">
      <x:c r="A4" s="114" t="n">
        <x:v>1</x:v>
      </x:c>
      <x:c r="B4" s="114" t="str">
        <x:v>Read the full How to Fix before considering any link.</x:v>
      </x:c>
      <x:c r="C4" s="39"/>
      <x:c r="D4" s="39"/>
      <x:c r="E4" s="39"/>
      <x:c r="F4" s="39"/>
    </x:row>
    <x:row r="5" ht="34" customHeight="1">
      <x:c r="A5" s="114" t="n">
        <x:v>2</x:v>
      </x:c>
      <x:c r="B5" s="114" t="str">
        <x:v>Extract every exact part, fluid, tool, service, and conditional branch.</x:v>
      </x:c>
      <x:c r="C5" s="39"/>
      <x:c r="D5" s="39"/>
      <x:c r="E5" s="39"/>
      <x:c r="F5" s="39"/>
    </x:row>
    <x:row r="6" ht="34" customHeight="1">
      <x:c r="A6" s="114" t="n">
        <x:v>3</x:v>
      </x:c>
      <x:c r="B6" s="114" t="str">
        <x:v>Search the YMMT plus the exact repair item plus US.</x:v>
      </x:c>
      <x:c r="C6" s="39"/>
      <x:c r="D6" s="39"/>
      <x:c r="E6" s="39"/>
      <x:c r="F6" s="39"/>
    </x:row>
    <x:row r="7" ht="34" customHeight="1">
      <x:c r="A7" s="114" t="n">
        <x:v>4</x:v>
      </x:c>
      <x:c r="B7" s="114" t="str">
        <x:v>Open the actual product or official service page; search-result pages are evidence, not the destination.</x:v>
      </x:c>
      <x:c r="C7" s="39"/>
      <x:c r="D7" s="39"/>
      <x:c r="E7" s="39"/>
      <x:c r="F7" s="39"/>
    </x:row>
    <x:row r="8" ht="34" customHeight="1">
      <x:c r="A8" s="114" t="n">
        <x:v>5</x:v>
      </x:c>
      <x:c r="B8" s="114" t="str">
        <x:v>Verify year, model, engine, trim, transmission, position, drivetrain, and kit contents.</x:v>
      </x:c>
      <x:c r="C8" s="39"/>
      <x:c r="D8" s="39"/>
      <x:c r="E8" s="39"/>
      <x:c r="F8" s="39"/>
    </x:row>
    <x:row r="9" ht="34" customHeight="1">
      <x:c r="A9" s="114" t="n">
        <x:v>6</x:v>
      </x:c>
      <x:c r="B9" s="114" t="str">
        <x:v>Save the URL with its exact scope, role, limitation, and evidence.</x:v>
      </x:c>
      <x:c r="C9" s="39"/>
      <x:c r="D9" s="39"/>
      <x:c r="E9" s="39"/>
      <x:c r="F9" s="39"/>
    </x:row>
    <x:row r="10" ht="34" customHeight="1">
      <x:c r="A10" s="115" t="n">
        <x:v>7</x:v>
      </x:c>
      <x:c r="B10" s="115" t="str">
        <x:v>Split or hold any unsupported year/engine/position instead of stretching fitment.</x:v>
      </x:c>
      <x:c r="C10" s="39"/>
      <x:c r="D10" s="39"/>
      <x:c r="E10" s="39"/>
      <x:c r="F10" s="39"/>
    </x:row>
    <x:row r="11">
      <x:c r="A11" s="39"/>
      <x:c r="B11" s="39"/>
      <x:c r="C11" s="39"/>
      <x:c r="D11" s="39"/>
      <x:c r="E11" s="39"/>
      <x:c r="F11" s="39"/>
    </x:row>
    <x:row r="12">
      <x:c r="A12" s="41" t="str">
        <x:v>Hard gates</x:v>
      </x:c>
      <x:c r="B12" s="41"/>
      <x:c r="C12" s="41"/>
      <x:c r="D12" s="41"/>
      <x:c r="E12" s="41"/>
      <x:c r="F12" s="41"/>
    </x:row>
    <x:row r="13" ht="44" customHeight="1">
      <x:c r="A13" s="116" t="str">
        <x:v>No scanner inference</x:v>
      </x:c>
      <x:c r="B13" s="116" t="str">
        <x:v>A DTC does not create an OBD-scanner commerce link unless the How to Fix actually requires that tool.</x:v>
      </x:c>
      <x:c r="C13" s="116"/>
      <x:c r="D13" s="116"/>
      <x:c r="E13" s="116"/>
      <x:c r="F13" s="116"/>
    </x:row>
    <x:row r="14" ht="44" customHeight="1">
      <x:c r="A14" s="117" t="str">
        <x:v>Recall/coverage first</x:v>
      </x:c>
      <x:c r="B14" s="117" t="str">
        <x:v>Official VIN or dealer routing comes before retail whenever the remedy may be covered.</x:v>
      </x:c>
      <x:c r="C14" s="117"/>
      <x:c r="D14" s="117"/>
      <x:c r="E14" s="117"/>
      <x:c r="F14" s="117"/>
    </x:row>
    <x:row r="15" ht="44" customHeight="1">
      <x:c r="A15" s="117" t="str">
        <x:v>Diagnosis first</x:v>
      </x:c>
      <x:c r="B15" s="117" t="str">
        <x:v>Do not pick among mutually exclusive parts until the failed component or position is identified.</x:v>
      </x:c>
      <x:c r="C15" s="117"/>
      <x:c r="D15" s="117"/>
      <x:c r="E15" s="117"/>
      <x:c r="F15" s="117"/>
    </x:row>
    <x:row r="16" ht="44" customHeight="1">
      <x:c r="A16" s="117" t="str">
        <x:v>Complete-kit honesty</x:v>
      </x:c>
      <x:c r="B16" s="117" t="str">
        <x:v>A chain, guide, tensioner, wave plate, or fluid is not a complete repair unless the page and instructions support that claim.</x:v>
      </x:c>
      <x:c r="C16" s="117"/>
      <x:c r="D16" s="117"/>
      <x:c r="E16" s="117"/>
      <x:c r="F16" s="117"/>
    </x:row>
    <x:row r="17" ht="44" customHeight="1">
      <x:c r="A17" s="117" t="str">
        <x:v>Live product page</x:v>
      </x:c>
      <x:c r="B17" s="117" t="str">
        <x:v>Use a direct, current product/service page with readable title and fitment evidence.</x:v>
      </x:c>
      <x:c r="C17" s="117"/>
      <x:c r="D17" s="117"/>
      <x:c r="E17" s="117"/>
      <x:c r="F17" s="117"/>
    </x:row>
    <x:row r="18" ht="44" customHeight="1">
      <x:c r="A18" s="118" t="str">
        <x:v>Review before deploy</x:v>
      </x:c>
      <x:c r="B18" s="118" t="str">
        <x:v>This Buick workbook is review-only. Nothing here is authorized for production until the user approves it.</x:v>
      </x:c>
      <x:c r="C18" s="118"/>
      <x:c r="D18" s="118"/>
      <x:c r="E18" s="118"/>
      <x:c r="F18" s="118"/>
    </x:row>
  </x:sheetData>
  <x:mergeCells>
    <x:mergeCell ref="A1:F1"/>
    <x:mergeCell ref="A12:F12"/>
    <x:mergeCell ref="B13:F13"/>
    <x:mergeCell ref="B14:F14"/>
    <x:mergeCell ref="B15:F15"/>
    <x:mergeCell ref="B16:F16"/>
    <x:mergeCell ref="B17:F17"/>
    <x:mergeCell ref="B18:F18"/>
  </x:mergeCells>
  <x:pageMargins left="0.7" right="0.7" top="0.75" bottom="0.75" header="0.3" footer="0.3"/>
</x:worksheet>
</file>