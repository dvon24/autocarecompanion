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699ced843b44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5d48bc5a42c4cce"/>
    <x:sheet xmlns:r="http://schemas.openxmlformats.org/officeDocument/2006/relationships" name="Buick Review" sheetId="2" r:id="Rb14614d21cdb43bb"/>
    <x:sheet xmlns:r="http://schemas.openxmlformats.org/officeDocument/2006/relationships" name="Method" sheetId="3" r:id="R8420c3f6aa1845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365D"/>
      <x:name val="Carlito"/>
    </x:font>
    <x:font>
      <x:b/>
      <x:sz val="11"/>
      <x:color rgb="FFFFFFFF"/>
      <x:name val="Carlito"/>
    </x:font>
    <x:font>
      <x:b/>
      <x:sz val="18"/>
      <x:color rgb="FFFFFFFF"/>
      <x:name val="Aptos"/>
    </x:font>
    <x:font>
      <x:i/>
      <x:sz val="11"/>
      <x:color rgb="FF17365D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7"/>
      <x:color rgb="FFFFFFFF"/>
      <x:name val="Carlito"/>
    </x:font>
    <x:font>
      <x:sz val="9"/>
      <x:name val="Aptos"/>
    </x:font>
    <x:font>
      <x:b/>
      <x:sz val="9"/>
      <x:color rgb="FF7F6000"/>
      <x:name val="Aptos"/>
    </x:font>
    <x:font>
      <x:b/>
      <x:sz val="17"/>
      <x:color rgb="FFFFFFFF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3F6F9"/>
      </x:patternFill>
    </x:fill>
    <x:fill>
      <x:patternFill patternType="solid">
        <x:fgColor rgb="FFFFF2CC"/>
      </x:patternFill>
    </x:fill>
  </x:fills>
  <x:borders count="16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10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2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0" fontId="0" fillId="5" borderId="4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7" xfId="0" applyNumberFormat="1" applyFont="1" applyFill="1" applyBorder="1" applyAlignment="1">
      <x:alignment vertical="top" wrapText="1"/>
    </x:xf>
    <x:xf numFmtId="0" fontId="0" fillId="5" borderId="8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7" fillId="4" borderId="0" xfId="0" applyNumberFormat="1" applyFont="1" applyFill="1" applyBorder="1"/>
    <x:xf numFmtId="0" fontId="7" fillId="2" borderId="0" xfId="0" applyNumberFormat="1" applyFont="1" applyFill="1" applyBorder="1"/>
    <x:xf numFmtId="0" fontId="6" fillId="5" borderId="1" xfId="0" applyNumberFormat="1" applyFont="1" applyFill="1" applyBorder="1" applyAlignment="1">
      <x:alignment vertical="top" wrapText="1"/>
    </x:xf>
    <x:xf numFmtId="0" fontId="6" fillId="5" borderId="2" xfId="0" applyNumberFormat="1" applyFont="1" applyFill="1" applyBorder="1" applyAlignment="1">
      <x:alignment vertical="top" wrapText="1"/>
    </x:xf>
    <x:xf numFmtId="0" fontId="6" fillId="5" borderId="3" xfId="0" applyNumberFormat="1" applyFont="1" applyFill="1" applyBorder="1" applyAlignment="1">
      <x:alignment vertical="top" wrapText="1"/>
    </x:xf>
    <x:xf numFmtId="0" fontId="6" fillId="5" borderId="4" xfId="0" applyNumberFormat="1" applyFont="1" applyFill="1" applyBorder="1" applyAlignment="1">
      <x:alignment vertical="top" wrapText="1"/>
    </x:xf>
    <x:xf numFmtId="0" fontId="6" fillId="5" borderId="5" xfId="0" applyNumberFormat="1" applyFont="1" applyFill="1" applyBorder="1" applyAlignment="1">
      <x:alignment vertical="top" wrapText="1"/>
    </x:xf>
    <x:xf numFmtId="0" fontId="6" fillId="5" borderId="6" xfId="0" applyNumberFormat="1" applyFont="1" applyFill="1" applyBorder="1" applyAlignment="1">
      <x:alignment vertical="top" wrapText="1"/>
    </x:xf>
    <x:xf numFmtId="0" fontId="6" fillId="5" borderId="7" xfId="0" applyNumberFormat="1" applyFont="1" applyFill="1" applyBorder="1" applyAlignment="1">
      <x:alignment vertical="top" wrapText="1"/>
    </x:xf>
    <x:xf numFmtId="0" fontId="6" fillId="5" borderId="8" xfId="0" applyNumberFormat="1" applyFont="1" applyFill="1" applyBorder="1" applyAlignment="1">
      <x:alignment vertical="top" wrapText="1"/>
    </x:xf>
    <x:xf numFmtId="0" fontId="6" fillId="5" borderId="9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wrapText="1"/>
    </x:xf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0" fontId="3" fillId="4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wrapText="1"/>
    </x:xf>
    <x:xf numFmtId="0" fontId="3" fillId="4" borderId="10" xfId="0" applyNumberFormat="1" applyFont="1" applyFill="1" applyBorder="1" applyAlignment="1">
      <x:alignment vertical="center" wrapText="1"/>
    </x:xf>
    <x:xf numFmtId="0" fontId="3" fillId="4" borderId="11" xfId="0" applyNumberFormat="1" applyFont="1" applyFill="1" applyBorder="1" applyAlignment="1">
      <x:alignment vertical="center" wrapText="1"/>
    </x:xf>
    <x:xf numFmtId="0" fontId="3" fillId="4" borderId="12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9" fillId="0" borderId="13" xfId="0" applyNumberFormat="1" applyFont="1" applyFill="1" applyBorder="1"/>
    <x:xf numFmtId="0" fontId="9" fillId="0" borderId="14" xfId="0" applyNumberFormat="1" applyFont="1" applyFill="1" applyBorder="1"/>
    <x:xf numFmtId="0" fontId="9" fillId="0" borderId="15" xfId="0" applyNumberFormat="1" applyFont="1" applyFill="1" applyBorder="1"/>
    <x:xf numFmtId="0" fontId="9" fillId="0" borderId="13" xfId="0" applyNumberFormat="1" applyFont="1" applyFill="1" applyBorder="1" applyAlignment="1">
      <x:alignment wrapText="1"/>
    </x:xf>
    <x:xf numFmtId="0" fontId="9" fillId="0" borderId="14" xfId="0" applyNumberFormat="1" applyFont="1" applyFill="1" applyBorder="1" applyAlignment="1">
      <x:alignment wrapText="1"/>
    </x:xf>
    <x:xf numFmtId="0" fontId="9" fillId="0" borderId="15" xfId="0" applyNumberFormat="1" applyFont="1" applyFill="1" applyBorder="1" applyAlignment="1">
      <x:alignment wrapText="1"/>
    </x:xf>
    <x:xf numFmtId="0" fontId="9" fillId="0" borderId="13" xfId="0" applyNumberFormat="1" applyFont="1" applyFill="1" applyBorder="1" applyAlignment="1">
      <x:alignment vertical="top" wrapText="1"/>
    </x:xf>
    <x:xf numFmtId="0" fontId="9" fillId="0" borderId="14" xfId="0" applyNumberFormat="1" applyFont="1" applyFill="1" applyBorder="1" applyAlignment="1">
      <x:alignment vertical="top" wrapText="1"/>
    </x:xf>
    <x:xf numFmtId="0" fontId="9" fillId="0" borderId="15" xfId="0" applyNumberFormat="1" applyFont="1" applyFill="1" applyBorder="1" applyAlignment="1">
      <x:alignment vertical="top" wrapText="1"/>
    </x:xf>
    <x:xf numFmtId="0" fontId="9" fillId="6" borderId="13" xfId="0" applyNumberFormat="1" applyFont="1" applyFill="1" applyBorder="1" applyAlignment="1">
      <x:alignment vertical="top" wrapText="1"/>
    </x:xf>
    <x:xf numFmtId="0" fontId="9" fillId="6" borderId="14" xfId="0" applyNumberFormat="1" applyFont="1" applyFill="1" applyBorder="1" applyAlignment="1">
      <x:alignment vertical="top" wrapText="1"/>
    </x:xf>
    <x:xf numFmtId="0" fontId="9" fillId="6" borderId="15" xfId="0" applyNumberFormat="1" applyFont="1" applyFill="1" applyBorder="1" applyAlignment="1">
      <x:alignment vertical="top" wrapText="1"/>
    </x:xf>
    <x:xf numFmtId="0" fontId="10" fillId="6" borderId="13" xfId="0" applyNumberFormat="1" applyFont="1" applyFill="1" applyBorder="1" applyAlignment="1">
      <x:alignment vertical="top" wrapText="1"/>
    </x:xf>
    <x:xf numFmtId="0" fontId="10" fillId="6" borderId="14" xfId="0" applyNumberFormat="1" applyFont="1" applyFill="1" applyBorder="1" applyAlignment="1">
      <x:alignment vertical="top" wrapText="1"/>
    </x:xf>
    <x:xf numFmtId="0" fontId="10" fillId="6" borderId="15" xfId="0" applyNumberFormat="1" applyFont="1" applyFill="1" applyBorder="1" applyAlignment="1">
      <x:alignment vertical="top" wrapText="1"/>
    </x:xf>
    <x:xf numFmtId="0" fontId="3" fillId="4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3" fillId="4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/>
    <x:xf numFmtId="0" fontId="0" fillId="5" borderId="14" xfId="0" applyNumberFormat="1" applyFont="1" applyFill="1" applyBorder="1"/>
    <x:xf numFmtId="0" fontId="0" fillId="5" borderId="15" xfId="0" applyNumberFormat="1" applyFont="1" applyFill="1" applyBorder="1"/>
    <x:xf numFmtId="0" fontId="0" fillId="5" borderId="13" xfId="0" applyNumberFormat="1" applyFont="1" applyFill="1" applyBorder="1" applyAlignment="1">
      <x:alignment wrapText="1"/>
    </x:xf>
    <x:xf numFmtId="0" fontId="0" fillId="5" borderId="14" xfId="0" applyNumberFormat="1" applyFont="1" applyFill="1" applyBorder="1" applyAlignment="1">
      <x:alignment wrapText="1"/>
    </x:xf>
    <x:xf numFmtId="0" fontId="0" fillId="5" borderId="15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4" xfId="0" applyNumberFormat="1" applyFont="1" applyFill="1" applyBorder="1" applyAlignment="1">
      <x:alignment vertical="top" wrapText="1"/>
    </x:xf>
    <x:xf numFmtId="0" fontId="0" fillId="5" borderId="15" xfId="0" applyNumberFormat="1" applyFont="1" applyFill="1" applyBorder="1" applyAlignment="1">
      <x:alignment vertical="top" wrapText="1"/>
    </x:xf>
    <x:xf numFmtId="0" fontId="11" fillId="2" borderId="0" xfId="0" applyNumberFormat="1" applyFont="1" applyFill="1" applyBorder="1"/>
    <x:xf numFmtId="0" fontId="7" fillId="4" borderId="13" xfId="0" applyNumberFormat="1" applyFont="1" applyFill="1" applyBorder="1" applyAlignment="1">
      <x:alignment vertical="top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5" xfId="0" applyNumberFormat="1" applyFont="1" applyFill="1" applyBorder="1" applyAlignment="1">
      <x:alignment vertical="top" wrapText="1"/>
    </x:xf>
    <x:xf numFmtId="0" fontId="6" fillId="5" borderId="13" xfId="0" applyNumberFormat="1" applyFont="1" applyFill="1" applyBorder="1" applyAlignment="1">
      <x:alignment vertical="top" wrapText="1"/>
    </x:xf>
    <x:xf numFmtId="0" fontId="6" fillId="5" borderId="14" xfId="0" applyNumberFormat="1" applyFont="1" applyFill="1" applyBorder="1" applyAlignment="1">
      <x:alignment vertical="top" wrapText="1"/>
    </x:xf>
    <x:xf numFmtId="0" fontId="6" fillId="5" borderId="15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c39b672b6f4d09" /><Relationship Type="http://schemas.openxmlformats.org/officeDocument/2006/relationships/theme" Target="/xl/theme/theme1.xml" Id="R48564f45b7414d87" /><Relationship Type="http://schemas.openxmlformats.org/officeDocument/2006/relationships/sharedStrings" Target="/xl/sharedStrings.xml" Id="R26b1f17456e04372" /><Relationship Type="http://schemas.openxmlformats.org/officeDocument/2006/relationships/worksheet" Target="/xl/worksheets/sheet1.xml" Id="R95d48bc5a42c4cce" /><Relationship Type="http://schemas.openxmlformats.org/officeDocument/2006/relationships/worksheet" Target="/xl/worksheets/sheet2.xml" Id="Rb14614d21cdb43bb" /><Relationship Type="http://schemas.openxmlformats.org/officeDocument/2006/relationships/worksheet" Target="/xl/worksheets/sheet3.xml" Id="R8420c3f6aa18456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50" hidden="0" customWidth="1"/>
    <x:col min="3" max="3" width="3" hidden="0" customWidth="1"/>
    <x:col min="4" max="4" width="38" hidden="0" customWidth="1"/>
    <x:col min="5" max="5" width="12" hidden="0" customWidth="1"/>
    <x:col min="6" max="6" width="4" hidden="0" customWidth="1"/>
    <x:col min="7" max="7" width="4" hidden="0" customWidth="1"/>
    <x:col min="8" max="8" width="4" hidden="0" customWidth="1"/>
  </x:cols>
  <x:sheetData>
    <x:row r="1" ht="34" customHeight="1">
      <x:c r="A1" s="37" t="str">
        <x:v>Buick Repair-First Fitment Review</x:v>
      </x:c>
      <x:c r="B1" s="37"/>
      <x:c r="C1" s="37"/>
      <x:c r="D1" s="37"/>
      <x:c r="E1" s="37"/>
      <x:c r="F1" s="37"/>
      <x:c r="G1" s="37"/>
      <x:c r="H1" s="37"/>
    </x:row>
    <x:row r="2" ht="22" customHeight="1">
      <x:c r="A2" s="38" t="str">
        <x:v>Review-only workbook — no Buick links have been deployed</x:v>
      </x:c>
      <x:c r="B2" s="38"/>
      <x:c r="C2" s="38"/>
      <x:c r="D2" s="38"/>
      <x:c r="E2" s="38"/>
      <x:c r="F2" s="38"/>
      <x:c r="G2" s="38"/>
      <x:c r="H2" s="38"/>
    </x:row>
    <x:row r="3" ht="22" customHeight="1">
      <x:c r="A3" s="39"/>
      <x:c r="B3" s="39"/>
      <x:c r="C3" s="39"/>
      <x:c r="D3" s="39"/>
      <x:c r="E3" s="39"/>
      <x:c r="F3" s="39"/>
      <x:c r="G3" s="39"/>
      <x:c r="H3" s="39"/>
    </x:row>
    <x:row r="4" ht="22" customHeight="1">
      <x:c r="A4" s="51" t="str">
        <x:v>Metric</x:v>
      </x:c>
      <x:c r="B4" s="40" t="str">
        <x:v>Value</x:v>
      </x:c>
      <x:c r="C4" s="39"/>
      <x:c r="D4" s="40" t="str">
        <x:v>Decision</x:v>
      </x:c>
      <x:c r="E4" s="40" t="str">
        <x:v>Count</x:v>
      </x:c>
      <x:c r="F4" s="39"/>
      <x:c r="G4" s="39"/>
      <x:c r="H4" s="39"/>
    </x:row>
    <x:row r="5" ht="22" customHeight="1">
      <x:c r="A5" s="52" t="str">
        <x:v>Published Buick issues</x:v>
      </x:c>
      <x:c r="B5" s="39" t="n">
        <x:v>70</x:v>
      </x:c>
      <x:c r="C5" s="39"/>
      <x:c r="D5" s="39" t="str">
        <x:v>CONTENT CORRECTION + PARTIAL APPROVAL</x:v>
      </x:c>
      <x:c r="E5" s="39" t="n">
        <x:f>COUNTIF('Buick Review'!$G$5:$G$19,D5)</x:f>
        <x:v>3</x:v>
      </x:c>
      <x:c r="F5" s="39"/>
      <x:c r="G5" s="39"/>
      <x:c r="H5" s="39"/>
    </x:row>
    <x:row r="6" ht="22" customHeight="1">
      <x:c r="A6" s="52" t="str">
        <x:v>Issues reviewed in this pass</x:v>
      </x:c>
      <x:c r="B6" s="39" t="n">
        <x:v>15</x:v>
      </x:c>
      <x:c r="C6" s="39"/>
      <x:c r="D6" s="39" t="str">
        <x:v>PARTIAL APPROVAL</x:v>
      </x:c>
      <x:c r="E6" s="39" t="n">
        <x:f>COUNTIF('Buick Review'!$G$5:$G$19,D6)</x:f>
        <x:v>1</x:v>
      </x:c>
      <x:c r="F6" s="39"/>
      <x:c r="G6" s="39"/>
      <x:c r="H6" s="39"/>
    </x:row>
    <x:row r="7" ht="22" customHeight="1">
      <x:c r="A7" s="52" t="str">
        <x:v>Issues remaining</x:v>
      </x:c>
      <x:c r="B7" s="39" t="n">
        <x:v>55</x:v>
      </x:c>
      <x:c r="C7" s="39"/>
      <x:c r="D7" s="39" t="str">
        <x:v>SPECIALIST SERVICE / HOLD RETAIL CTA</x:v>
      </x:c>
      <x:c r="E7" s="39" t="n">
        <x:f>COUNTIF('Buick Review'!$G$5:$G$19,D7)</x:f>
        <x:v>1</x:v>
      </x:c>
      <x:c r="F7" s="39"/>
      <x:c r="G7" s="39"/>
      <x:c r="H7" s="39"/>
    </x:row>
    <x:row r="8" ht="22" customHeight="1">
      <x:c r="A8" s="52" t="str">
        <x:v>Existing live commerce links at snapshot</x:v>
      </x:c>
      <x:c r="B8" s="39" t="n">
        <x:v>2</x:v>
      </x:c>
      <x:c r="C8" s="39"/>
      <x:c r="D8" s="39" t="str">
        <x:v>DIAGNOSIS-FIRST HOLD</x:v>
      </x:c>
      <x:c r="E8" s="39" t="n">
        <x:f>COUNTIF('Buick Review'!$G$5:$G$19,D8)</x:f>
        <x:v>1</x:v>
      </x:c>
      <x:c r="F8" s="39"/>
      <x:c r="G8" s="39"/>
      <x:c r="H8" s="39"/>
    </x:row>
    <x:row r="9" ht="22" customHeight="1">
      <x:c r="A9" s="52" t="str">
        <x:v>Deployment status</x:v>
      </x:c>
      <x:c r="B9" s="39" t="str">
        <x:v>NOT DEPLOYED</x:v>
      </x:c>
      <x:c r="C9" s="39"/>
      <x:c r="D9" s="39" t="str">
        <x:v>POSITION-SPECIFIC PARTIAL APPROVAL</x:v>
      </x:c>
      <x:c r="E9" s="39" t="n">
        <x:f>COUNTIF('Buick Review'!$G$5:$G$19,D9)</x:f>
        <x:v>1</x:v>
      </x:c>
      <x:c r="F9" s="39"/>
      <x:c r="G9" s="39"/>
      <x:c r="H9" s="39"/>
    </x:row>
    <x:row r="10" ht="22" customHeight="1">
      <x:c r="A10" s="39"/>
      <x:c r="B10" s="39"/>
      <x:c r="C10" s="39"/>
      <x:c r="D10" s="39" t="str">
        <x:v>COVERAGE-FIRST + PARTIAL APPROVAL</x:v>
      </x:c>
      <x:c r="E10" s="39" t="n">
        <x:f>COUNTIF('Buick Review'!$G$5:$G$19,D10)</x:f>
        <x:v>1</x:v>
      </x:c>
      <x:c r="F10" s="39"/>
      <x:c r="G10" s="39"/>
      <x:c r="H10" s="39"/>
    </x:row>
    <x:row r="11" ht="22" customHeight="1">
      <x:c r="A11" s="39"/>
      <x:c r="B11" s="39"/>
      <x:c r="C11" s="39"/>
      <x:c r="D11" s="39" t="str">
        <x:v>COVERAGE-FIRST / NO RETAIL CTA</x:v>
      </x:c>
      <x:c r="E11" s="39" t="n">
        <x:f>COUNTIF('Buick Review'!$G$5:$G$19,D11)</x:f>
        <x:v>1</x:v>
      </x:c>
      <x:c r="F11" s="39"/>
      <x:c r="G11" s="39"/>
      <x:c r="H11" s="39"/>
    </x:row>
    <x:row r="12" ht="22" customHeight="1">
      <x:c r="A12" s="39"/>
      <x:c r="B12" s="39"/>
      <x:c r="C12" s="39"/>
      <x:c r="D12" s="39" t="str">
        <x:v>DIAGNOSIS-GATED PARTIAL APPROVAL</x:v>
      </x:c>
      <x:c r="E12" s="39" t="n">
        <x:f>COUNTIF('Buick Review'!$G$5:$G$19,D12)</x:f>
        <x:v>1</x:v>
      </x:c>
      <x:c r="F12" s="39"/>
      <x:c r="G12" s="39"/>
      <x:c r="H12" s="39"/>
    </x:row>
    <x:row r="13" ht="22" customHeight="1">
      <x:c r="A13" s="39"/>
      <x:c r="B13" s="39"/>
      <x:c r="C13" s="39"/>
      <x:c r="D13" s="39" t="str">
        <x:v>COVERAGE-FIRST + YEAR-SPLIT APPROVAL</x:v>
      </x:c>
      <x:c r="E13" s="39" t="n">
        <x:f>COUNTIF('Buick Review'!$G$5:$G$19,D13)</x:f>
        <x:v>1</x:v>
      </x:c>
      <x:c r="F13" s="39"/>
      <x:c r="G13" s="39"/>
      <x:c r="H13" s="39"/>
    </x:row>
    <x:row r="14" ht="22" customHeight="1">
      <x:c r="A14" s="39"/>
      <x:c r="B14" s="39"/>
      <x:c r="C14" s="39"/>
      <x:c r="D14" s="39" t="str">
        <x:v>FLUID APPROVAL + SERVICE GATE</x:v>
      </x:c>
      <x:c r="E14" s="39" t="n">
        <x:f>COUNTIF('Buick Review'!$G$5:$G$19,D14)</x:f>
        <x:v>1</x:v>
      </x:c>
      <x:c r="F14" s="39"/>
      <x:c r="G14" s="39"/>
      <x:c r="H14" s="39"/>
    </x:row>
    <x:row r="15" ht="22" customHeight="1">
      <x:c r="A15" s="39"/>
      <x:c r="B15" s="39"/>
      <x:c r="C15" s="39"/>
      <x:c r="D15" s="39" t="str">
        <x:v>PART APPROVAL</x:v>
      </x:c>
      <x:c r="E15" s="39" t="n">
        <x:f>COUNTIF('Buick Review'!$G$5:$G$19,D15)</x:f>
        <x:v>1</x:v>
      </x:c>
      <x:c r="F15" s="39"/>
      <x:c r="G15" s="39"/>
      <x:c r="H15" s="39"/>
    </x:row>
    <x:row r="16" ht="22" customHeight="1">
      <x:c r="A16" s="39"/>
      <x:c r="B16" s="39"/>
      <x:c r="C16" s="39"/>
      <x:c r="D16" s="39" t="str">
        <x:v>YEAR-SPLIT PARTIAL APPROVAL</x:v>
      </x:c>
      <x:c r="E16" s="39" t="n">
        <x:f>COUNTIF('Buick Review'!$G$5:$G$19,D16)</x:f>
        <x:v>1</x:v>
      </x:c>
      <x:c r="F16" s="39"/>
      <x:c r="G16" s="39"/>
      <x:c r="H16" s="39"/>
    </x:row>
    <x:row r="17" ht="22" customHeight="1">
      <x:c r="A17" s="39"/>
      <x:c r="B17" s="39"/>
      <x:c r="C17" s="39"/>
      <x:c r="D17" s="39" t="str">
        <x:v>FLUID APPROVAL + DIAGNOSIS-FIRST HOLD</x:v>
      </x:c>
      <x:c r="E17" s="39" t="n">
        <x:f>COUNTIF('Buick Review'!$G$5:$G$19,D17)</x:f>
        <x:v>1</x:v>
      </x:c>
      <x:c r="F17" s="39"/>
      <x:c r="G17" s="39"/>
      <x:c r="H17" s="39"/>
    </x:row>
    <x:row r="18" ht="22" customHeight="1">
      <x:c r="A18" s="39"/>
      <x:c r="B18" s="39"/>
      <x:c r="C18" s="39"/>
      <x:c r="D18" s="39"/>
      <x:c r="E18" s="39"/>
      <x:c r="F18" s="39"/>
      <x:c r="G18" s="39"/>
      <x:c r="H18" s="39"/>
    </x:row>
    <x:row r="19" ht="22" customHeight="1">
      <x:c r="A19" s="39"/>
      <x:c r="B19" s="39"/>
      <x:c r="C19" s="39"/>
      <x:c r="D19" s="39"/>
      <x:c r="E19" s="39"/>
      <x:c r="F19" s="39"/>
      <x:c r="G19" s="39"/>
      <x:c r="H19" s="39"/>
    </x:row>
    <x:row r="20" ht="22" customHeight="1">
      <x:c r="A20" s="41" t="str">
        <x:v>Important review findings</x:v>
      </x:c>
      <x:c r="B20" s="41"/>
      <x:c r="C20" s="41"/>
      <x:c r="D20" s="41"/>
      <x:c r="E20" s="41"/>
      <x:c r="F20" s="41"/>
      <x:c r="G20" s="41"/>
      <x:c r="H20" s="41"/>
    </x:row>
    <x:row r="21" ht="42" customHeight="1">
      <x:c r="A21" s="42" t="str">
        <x:v>1</x:v>
      </x:c>
      <x:c r="B21" s="43" t="str">
        <x:v>Both 3800 entries name the wrong Fel-Pro gasket. MS98014T is the corrected 3.8L part; MS98003T must not be linked.</x:v>
      </x:c>
      <x:c r="C21" s="43"/>
      <x:c r="D21" s="43"/>
      <x:c r="E21" s="43"/>
      <x:c r="F21" s="43"/>
      <x:c r="G21" s="43"/>
      <x:c r="H21" s="44"/>
    </x:row>
    <x:row r="22" ht="42" customHeight="1">
      <x:c r="A22" s="45" t="str">
        <x:v>2</x:v>
      </x:c>
      <x:c r="B22" s="46" t="str">
        <x:v>The two Enclave timing-chain entries overlap. Their 2008 engine designation must be separated from 2009+ LLT fitment.</x:v>
      </x:c>
      <x:c r="C22" s="46"/>
      <x:c r="D22" s="46"/>
      <x:c r="E22" s="46"/>
      <x:c r="F22" s="46"/>
      <x:c r="G22" s="46"/>
      <x:c r="H22" s="47"/>
    </x:row>
    <x:row r="23" ht="42" customHeight="1">
      <x:c r="A23" s="45" t="str">
        <x:v>3</x:v>
      </x:c>
      <x:c r="B23" s="46" t="str">
        <x:v>Recall/special-coverage and diagnosis gates remain ahead of retail links for steering, oil-consumption, transmission, and A/C cases.</x:v>
      </x:c>
      <x:c r="C23" s="46"/>
      <x:c r="D23" s="46"/>
      <x:c r="E23" s="46"/>
      <x:c r="F23" s="46"/>
      <x:c r="G23" s="46"/>
      <x:c r="H23" s="47"/>
    </x:row>
    <x:row r="24" ht="42" customHeight="1">
      <x:c r="A24" s="45" t="str">
        <x:v>4</x:v>
      </x:c>
      <x:c r="B24" s="46" t="str">
        <x:v>No OBD/scanner link was inferred from a DTC. Every destination comes from the full How to Fix repair path.</x:v>
      </x:c>
      <x:c r="C24" s="46"/>
      <x:c r="D24" s="46"/>
      <x:c r="E24" s="46"/>
      <x:c r="F24" s="46"/>
      <x:c r="G24" s="46"/>
      <x:c r="H24" s="47"/>
    </x:row>
    <x:row r="25" ht="42" customHeight="1">
      <x:c r="A25" s="48" t="str">
        <x:v>5</x:v>
      </x:c>
      <x:c r="B25" s="49" t="str">
        <x:v>Partial-component links are labeled partial; they are never represented as a complete timing or transmission repair.</x:v>
      </x:c>
      <x:c r="C25" s="49"/>
      <x:c r="D25" s="49"/>
      <x:c r="E25" s="49"/>
      <x:c r="F25" s="49"/>
      <x:c r="G25" s="49"/>
      <x:c r="H25" s="50"/>
    </x:row>
  </x:sheetData>
  <x:mergeCells>
    <x:mergeCell ref="A1:H1"/>
    <x:mergeCell ref="A2:H2"/>
    <x:mergeCell ref="A20:H20"/>
    <x:mergeCell ref="B21:H21"/>
    <x:mergeCell ref="B22:H22"/>
    <x:mergeCell ref="B23:H23"/>
    <x:mergeCell ref="B24:H24"/>
    <x:mergeCell ref="B25:H2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" hidden="0" customWidth="1"/>
    <x:col min="2" max="2" width="34" hidden="0" customWidth="1"/>
    <x:col min="3" max="3" width="38" hidden="0" customWidth="1"/>
    <x:col min="4" max="4" width="34" hidden="0" customWidth="1"/>
    <x:col min="5" max="5" width="58" hidden="0" customWidth="1"/>
    <x:col min="6" max="6" width="46" hidden="0" customWidth="1"/>
    <x:col min="7" max="7" width="30" hidden="0" customWidth="1"/>
    <x:col min="8" max="8" width="42" hidden="0" customWidth="1"/>
    <x:col min="9" max="9" width="55" hidden="0" customWidth="1"/>
    <x:col min="10" max="10" width="44" hidden="0" customWidth="1"/>
    <x:col min="11" max="11" width="36" hidden="0" customWidth="1"/>
    <x:col min="12" max="12" width="54" hidden="0" customWidth="1"/>
    <x:col min="13" max="13" width="54" hidden="0" customWidth="1"/>
    <x:col min="14" max="14" width="25" hidden="0" customWidth="1"/>
    <x:col min="15" max="15" width="55" hidden="0" customWidth="1"/>
  </x:cols>
  <x:sheetData>
    <x:row r="1" ht="34" customHeight="1">
      <x:c r="A1" s="54" t="str">
        <x:v>Buick Known-Issue Link Review — Repair-First Method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4"/>
      <x:c r="O1" s="54"/>
    </x:row>
    <x:row r="2" ht="34" customHeight="1">
      <x:c r="A2" s="55" t="str">
        <x:v>Read How to Fix → extract repair items → search exact YMMT + item + US → open product page → verify fitment → approve, split, or hold</x:v>
      </x:c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</x:row>
    <x:row r="4" ht="40" customHeight="1">
      <x:c r="A4" s="62" t="str">
        <x:v>#</x:v>
      </x:c>
      <x:c r="B4" s="63" t="str">
        <x:v>Issue ID</x:v>
      </x:c>
      <x:c r="C4" s="63" t="str">
        <x:v>YMMT</x:v>
      </x:c>
      <x:c r="D4" s="63" t="str">
        <x:v>Known Issue</x:v>
      </x:c>
      <x:c r="E4" s="63" t="str">
        <x:v>How to Fix (full)</x:v>
      </x:c>
      <x:c r="F4" s="63" t="str">
        <x:v>Repair items extracted</x:v>
      </x:c>
      <x:c r="G4" s="63" t="str">
        <x:v>Decision</x:v>
      </x:c>
      <x:c r="H4" s="63" t="str">
        <x:v>Approved destination(s)</x:v>
      </x:c>
      <x:c r="I4" s="63" t="str">
        <x:v>Exact URL(s)</x:v>
      </x:c>
      <x:c r="J4" s="63" t="str">
        <x:v>Verified fitment scope</x:v>
      </x:c>
      <x:c r="K4" s="63" t="str">
        <x:v>Role / limitation</x:v>
      </x:c>
      <x:c r="L4" s="63" t="str">
        <x:v>Why approved or held</x:v>
      </x:c>
      <x:c r="M4" s="63" t="str">
        <x:v>Content correction / gate</x:v>
      </x:c>
      <x:c r="N4" s="63" t="str">
        <x:v>Status</x:v>
      </x:c>
      <x:c r="O4" s="64" t="str">
        <x:v>Evidence URL(s)</x:v>
      </x:c>
    </x:row>
    <x:row r="5" ht="110" customHeight="1">
      <x:c r="A5" s="72" t="n">
        <x:v>1</x:v>
      </x:c>
      <x:c r="B5" s="72" t="str">
        <x:v>buick-3800-lower-intake-gasket-lesabre</x:v>
      </x:c>
      <x:c r="C5" s="72" t="str">
        <x:v>1995-2005 | Buick | LeSabre | Custom, Limited, 90th Anniversary, Celebration | 3.8L L36 (Series II/III)</x:v>
      </x:c>
      <x:c r="D5" s="72" t="str">
        <x:v>LeSabre 3800 V6 Lower Intake Manifold (LIM) Gasket Leak</x:v>
      </x:c>
      <x:c r="E5" s="72" t="str">
        <x:v>LIM gasket job is the same: Fel-Pro MS98003T or similar updated design — $400-$800. Replace UIM plenum if cracked, and drain Dex-Cool. Many shops will replace the EGR stovepipe gasket and throttle body gasket while everything is apart.</x:v>
      </x:c>
      <x:c r="F5" s="72" t="str">
        <x:v>Lower intake manifold gasket; inspect/replace upper intake plenum; drain coolant; optional EGR stovepipe and throttle-body gaskets</x:v>
      </x:c>
      <x:c r="G5" s="72" t="str">
        <x:v>CONTENT CORRECTION + PARTIAL APPROVAL</x:v>
      </x:c>
      <x:c r="H5" s="72" t="str">
        <x:v>Fel-Pro MS98014T intake manifold gasket set</x:v>
      </x:c>
      <x:c r="I5" s="72" t="str">
        <x:v>https://www.autozone.com/p/fel-pro-engine-intake-manifold-gasket-set-ms98014t/217566</x:v>
      </x:c>
      <x:c r="J5" s="72" t="str">
        <x:v>1996-2005 LeSabre 3.8L; verify VIN/engine before purchase</x:v>
      </x:c>
      <x:c r="K5" s="72" t="str">
        <x:v>primary repair part</x:v>
      </x:c>
      <x:c r="L5" s="72" t="str">
        <x:v>The named MS98003T is a 3.1/3.4L application. MS98014T is the verified 3800 gasket. The product does not cover the optional plenum or ancillary gaskets.</x:v>
      </x:c>
      <x:c r="M5" s="72" t="str">
        <x:v>Replace MS98003T with MS98014T. Narrow verified link scope to 1996-2005; hold 1995 until its exact engine/VIN split is confirmed.</x:v>
      </x:c>
      <x:c r="N5" s="78" t="str">
        <x:v>REVIEW ONLY — NOT DEPLOYED</x:v>
      </x:c>
      <x:c r="O5" s="72" t="str">
        <x:v>https://www.partsgeek.com/mmparts/intake_manifold_gasket/buick/lesabre.html
https://www.ebay.com/itm/236597628678</x:v>
      </x:c>
    </x:row>
    <x:row r="6" ht="110" customHeight="1">
      <x:c r="A6" s="73" t="n">
        <x:v>2</x:v>
      </x:c>
      <x:c r="B6" s="73" t="str">
        <x:v>buick-3800-lower-intake-gasket-park-avenue</x:v>
      </x:c>
      <x:c r="C6" s="73" t="str">
        <x:v>1995-2005 | Buick | Park Avenue | Base, Ultra | 3.8L L36 (Series II/III), 3.8L L67 Supercharged</x:v>
      </x:c>
      <x:c r="D6" s="73" t="str">
        <x:v>Park Avenue 3800 V6 Lower Intake Manifold (LIM) Gasket Leak</x:v>
      </x:c>
      <x:c r="E6" s="73" t="str">
        <x:v>Replace LIM gasket with updated Fel-Pro MS98003T (improved metal-reinforced design) — $400-$800 at independent. Replace upper intake plenum at the same time if cracked. Drain Dex-Cool and refill with Zerex G-05 or compatible HOAT. Inspect oil for coolant contamination at every change; milky oil means immediate teardown.</x:v>
      </x:c>
      <x:c r="F6" s="73" t="str">
        <x:v>Lower intake manifold gasket; inspect/replace upper intake plenum; drain/refill coolant; inspect oil contamination</x:v>
      </x:c>
      <x:c r="G6" s="73" t="str">
        <x:v>CONTENT CORRECTION + PARTIAL APPROVAL</x:v>
      </x:c>
      <x:c r="H6" s="73" t="str">
        <x:v>Fel-Pro MS98014T intake manifold gasket set</x:v>
      </x:c>
      <x:c r="I6" s="73" t="str">
        <x:v>https://www.autozone.com/p/fel-pro-engine-intake-manifold-gasket-set-ms98014t/217566</x:v>
      </x:c>
      <x:c r="J6" s="73" t="str">
        <x:v>1995-2005 Park Avenue 3.8L; confirm naturally aspirated vs supercharged configuration and VIN</x:v>
      </x:c>
      <x:c r="K6" s="73" t="str">
        <x:v>primary repair part</x:v>
      </x:c>
      <x:c r="L6" s="73" t="str">
        <x:v>MS98014T is the correct 3800 lower-intake set; MS98003T is not. The optional upper plenum and coolant choice remain separate decisions.</x:v>
      </x:c>
      <x:c r="M6" s="73" t="str">
        <x:v>Replace MS98003T with MS98014T. Remove the blanket recommendation to replace Dex-Cool with Zerex G-05 unless supported by the service information for the exact vehicle.</x:v>
      </x:c>
      <x:c r="N6" s="79" t="str">
        <x:v>REVIEW ONLY — NOT DEPLOYED</x:v>
      </x:c>
      <x:c r="O6" s="73" t="str">
        <x:v>https://www.ebay.com/itm/375107875198</x:v>
      </x:c>
    </x:row>
    <x:row r="7" ht="110" customHeight="1">
      <x:c r="A7" s="73" t="n">
        <x:v>3</x:v>
      </x:c>
      <x:c r="B7" s="73" t="str">
        <x:v>buick-cascada-1.6t-timing-chain</x:v>
      </x:c>
      <x:c r="C7" s="73" t="str">
        <x:v>2016-2019 | Buick | Cascada | Base, Premium, Sport Touring | 1.6L Turbo SIDI</x:v>
      </x:c>
      <x:c r="D7" s="73" t="str">
        <x:v>Cascada 1.6L Turbo (Opel SIDI) Timing Chain &amp; Carbon Buildup</x:v>
      </x:c>
      <x:c r="E7" s="73" t="str">
        <x:v>Chain kit replacement ~$1,500-$2,500 (parts harder to source than US-built GM engines). Walnut blast intake valves at the same service ($300-$500). Use dexos2 full-synthetic 5W-30 — required spec for European-build engines.</x:v>
      </x:c>
      <x:c r="F7" s="73" t="str">
        <x:v>Timing chain, guides, tensioner and remaining kit hardware; walnut-blast service; dexos2 5W-30</x:v>
      </x:c>
      <x:c r="G7" s="73" t="str">
        <x:v>PARTIAL APPROVAL</x:v>
      </x:c>
      <x:c r="H7" s="73" t="str">
        <x:v>Genuine GM timing chain 55569250
Genuine GM timing-chain guide 55569246
Genuine GM timing-chain tensioner 55500814</x:v>
      </x:c>
      <x:c r="I7" s="73" t="str">
        <x:v>https://www.gmpartsgiant.com/parts/gm-chain-cm-shf-tmg-55569250.html
https://www.gmpartsgiant.com/parts/gm-guide-tmg-chain-55569246.html
https://www.gmpartsgiant.com/parts/gm-tensioner-asm-tmg-chain-55500814.html</x:v>
      </x:c>
      <x:c r="J7" s="73" t="str">
        <x:v>2016-2019 Cascada 1.6L
2016-2019 Cascada 1.6L
2016-2019 Cascada 1.6L</x:v>
      </x:c>
      <x:c r="K7" s="73" t="str">
        <x:v>partial component
partial component
partial component</x:v>
      </x:c>
      <x:c r="L7" s="73" t="str">
        <x:v>Each OEM component has exact Cascada fitment, but these three links are not a complete kit. Walnut blasting is a service, not a product substitute.</x:v>
      </x:c>
      <x:c r="M7" s="73" t="str">
        <x:v>Label every component as partial. Do not present a turbocharger, scanner, or a single timing component as the complete repair.</x:v>
      </x:c>
      <x:c r="N7" s="79" t="str">
        <x:v>REVIEW ONLY — NOT DEPLOYED</x:v>
      </x:c>
      <x:c r="O7" s="73" t="str"/>
    </x:row>
    <x:row r="8" ht="110" customHeight="1">
      <x:c r="A8" s="73" t="n">
        <x:v>4</x:v>
      </x:c>
      <x:c r="B8" s="73" t="str">
        <x:v>buick-enclave-6t70-6t75-transmission-wave-plate-failure</x:v>
      </x:c>
      <x:c r="C8" s="73" t="str">
        <x:v>2008-2012 | Buick | Enclave</x:v>
      </x:c>
      <x:c r="D8" s="73" t="str">
        <x:v>6T70/6T75 Transmission Wave Plate Failure</x:v>
      </x:c>
      <x:c r="E8" s="73" t="str">
        <x:v>Disassemble and rebuild the transmission with an updated/stronger wave plate, plus replace damaged hard parts and clean out debris; in severe cases a remanufactured unit is installed.</x:v>
      </x:c>
      <x:c r="F8" s="73" t="str">
        <x:v>Updated 3-5-R wave plate/drum repair; damaged hard parts; debris cleanout; possible remanufactured transmission</x:v>
      </x:c>
      <x:c r="G8" s="73" t="str">
        <x:v>SPECIALIST SERVICE / HOLD RETAIL CTA</x:v>
      </x:c>
      <x:c r="H8" s="73" t="str">
        <x:v>Sonnax 124555K 3-5-R drum saver kit</x:v>
      </x:c>
      <x:c r="I8" s="73" t="str">
        <x:v>https://www.sonnax.com/parts/4810-3-5-r-drum-saver-kit</x:v>
      </x:c>
      <x:c r="J8" s="73" t="str">
        <x:v>6T70/6T75 Gen 1/2; transmission identification required</x:v>
      </x:c>
      <x:c r="K8" s="73" t="str">
        <x:v>technical component reference</x:v>
      </x:c>
      <x:c r="L8" s="73" t="str">
        <x:v>The Sonnax kit addresses the wave-plate/drum failure but does not cover all hard-part damage, converter damage, labor, programming, or debris cleanout.</x:v>
      </x:c>
      <x:c r="M8" s="73" t="str">
        <x:v>Gate by transmission ID and diagnosis. Route to a transmission specialist; do not imply that buying one kit completes the rebuild.</x:v>
      </x:c>
      <x:c r="N8" s="79" t="str">
        <x:v>REVIEW ONLY — NOT DEPLOYED</x:v>
      </x:c>
      <x:c r="O8" s="73" t="str">
        <x:v>https://static.nhtsa.gov/odi/tsbs/2015/SB-10057637-4073.pdf
https://static.nhtsa.gov/odi/tsbs/2012/SB-10062512-7690.pdf</x:v>
      </x:c>
    </x:row>
    <x:row r="9" ht="110" customHeight="1">
      <x:c r="A9" s="73" t="n">
        <x:v>5</x:v>
      </x:c>
      <x:c r="B9" s="73" t="str">
        <x:v>buick-enclave-excessive-oil-consumption-engine-failure-3-6l</x:v>
      </x:c>
      <x:c r="C9" s="73" t="str">
        <x:v>2008-2010 | Buick | Enclave</x:v>
      </x:c>
      <x:c r="D9" s="73" t="str">
        <x:v>Excessive Oil Consumption / Engine Failure on 3.6L</x:v>
      </x:c>
      <x:c r="E9" s="73" t="str">
        <x:v>Diagnose per GM PIP5084; remedies range from PCV/oil-control updates to, in severe consumption or block-failure cases, engine replacement (around $6,500). Check oil frequently between changes as a stopgap.</x:v>
      </x:c>
      <x:c r="F9" s="73" t="str">
        <x:v>Diagnosis per GM PIP5084; PCV/oil-control updates if applicable; possible engine replacement</x:v>
      </x:c>
      <x:c r="G9" s="73" t="str">
        <x:v>DIAGNOSIS-FIRST HOLD</x:v>
      </x:c>
      <x:c r="H9" s="73" t="str">
        <x:v>Buick dealer locator</x:v>
      </x:c>
      <x:c r="I9" s="73" t="str">
        <x:v>https://www.buick.com/locate-buick-dealer</x:v>
      </x:c>
      <x:c r="J9" s="73" t="str">
        <x:v>2008-2010 Enclave; diagnosis and VIN-specific repair</x:v>
      </x:c>
      <x:c r="K9" s="73" t="str">
        <x:v>service locator</x:v>
      </x:c>
      <x:c r="L9" s="73" t="str">
        <x:v>The remedy ranges from updates to complete engine replacement. No single part can be recommended until the consumption/block failure is diagnosed.</x:v>
      </x:c>
      <x:c r="M9" s="73" t="str">
        <x:v>Keep commerce off until diagnosis identifies the failed component. A service/dealer locator is appropriate.</x:v>
      </x:c>
      <x:c r="N9" s="79" t="str">
        <x:v>REVIEW ONLY — NOT DEPLOYED</x:v>
      </x:c>
      <x:c r="O9" s="73" t="str"/>
    </x:row>
    <x:row r="10" ht="110" customHeight="1">
      <x:c r="A10" s="73" t="n">
        <x:v>6</x:v>
      </x:c>
      <x:c r="B10" s="73" t="str">
        <x:v>buick-enclave-hvac-blend-door-actuator-failure</x:v>
      </x:c>
      <x:c r="C10" s="73" t="str">
        <x:v>2008-2017 | Buick | Enclave</x:v>
      </x:c>
      <x:c r="D10" s="73" t="str">
        <x:v>HVAC Blend Door Actuator Failure</x:v>
      </x:c>
      <x:c r="E10" s="73" t="str">
        <x:v>Replace the failed blend-door actuator and recalibrate the HVAC system. Some actuators are easy to reach; others require significant dash disassembly, which drives up labor.</x:v>
      </x:c>
      <x:c r="F10" s="73" t="str">
        <x:v>Failed HVAC actuator at the diagnosed position; HVAC recalibration</x:v>
      </x:c>
      <x:c r="G10" s="73" t="str">
        <x:v>POSITION-SPECIFIC PARTIAL APPROVAL</x:v>
      </x:c>
      <x:c r="H10" s="73" t="str">
        <x:v>GM HVAC actuator 20826182 / ACDelco 15-73989
GM temperature-door actuator 22816196</x:v>
      </x:c>
      <x:c r="I10" s="73" t="str">
        <x:v>https://parts.gmparts.com/product/gm-genuine-parts-air-conditioning-actuator-20826182
https://www.gmpartsgiant.com/parts/gm-actuator-22816196.html</x:v>
      </x:c>
      <x:c r="J10" s="73" t="str">
        <x:v>2008-2013 Enclave; confirm actuator position by VIN
2013-2017 Enclave 3.6L; confirm actuator position by VIN</x:v>
      </x:c>
      <x:c r="K10" s="73" t="str">
        <x:v>position-specific part
position-specific part</x:v>
      </x:c>
      <x:c r="L10" s="73" t="str">
        <x:v>The Enclave has multiple HVAC actuators that are not interchangeable. The failed position must be diagnosed before purchase; recalibration remains a service step.</x:v>
      </x:c>
      <x:c r="M10" s="73" t="str">
        <x:v>Display a mandatory position/VIN check. Never label either actuator as fitting every HVAC-door location.</x:v>
      </x:c>
      <x:c r="N10" s="79" t="str">
        <x:v>REVIEW ONLY — NOT DEPLOYED</x:v>
      </x:c>
      <x:c r="O10" s="73" t="str">
        <x:v>https://www.dormanproducts.com/p-79235-604-924.aspx</x:v>
      </x:c>
    </x:row>
    <x:row r="11" ht="110" customHeight="1">
      <x:c r="A11" s="73" t="n">
        <x:v>7</x:v>
      </x:c>
      <x:c r="B11" s="73" t="str">
        <x:v>buick-enclave-loss-power-steering-assist</x:v>
      </x:c>
      <x:c r="C11" s="73" t="str">
        <x:v>2008-2011 | Buick | Enclave</x:v>
      </x:c>
      <x:c r="D11" s="73" t="str">
        <x:v>Loss of Power Steering Assist (Pump Wear)</x:v>
      </x:c>
      <x:c r="E11" s="73" t="str">
        <x:v>Replace the power steering pump (and inspect/replace fluid and lines). Covered under GM Special Coverage for 10yr/150k mi on affected vehicles; otherwise replace the pump out of pocket.</x:v>
      </x:c>
      <x:c r="F11" s="73" t="str">
        <x:v>Power-steering pump; inspect fluid and lines; Special Coverage eligibility check</x:v>
      </x:c>
      <x:c r="G11" s="73" t="str">
        <x:v>COVERAGE-FIRST + PARTIAL APPROVAL</x:v>
      </x:c>
      <x:c r="H11" s="73" t="str">
        <x:v>Buick recall/coverage lookup
A-Premium power-steering pump APPSP0062</x:v>
      </x:c>
      <x:c r="I11" s="73" t="str">
        <x:v>https://www.buick.com/ownercenter/recalls
https://a-premium.com/product/Power-Steering-Pump-for-2008-2017-Buick-Enclave-85Av08qeyw</x:v>
      </x:c>
      <x:c r="J11" s="73" t="str">
        <x:v>VIN required
2008-2011 issue scope; product lists 2008-2017 Enclave</x:v>
      </x:c>
      <x:c r="K11" s="73" t="str">
        <x:v>coverage check
pump only after coverage/diagnosis</x:v>
      </x:c>
      <x:c r="L11" s="73" t="str">
        <x:v>Coverage/VIN check comes before retail. The pump link does not include fluid, lines, steering gear work, or labor.</x:v>
      </x:c>
      <x:c r="M11" s="73" t="str">
        <x:v>Set recallFirst/coverage-first behavior and make the retail pump secondary.</x:v>
      </x:c>
      <x:c r="N11" s="79" t="str">
        <x:v>REVIEW ONLY — NOT DEPLOYED</x:v>
      </x:c>
      <x:c r="O11" s="73" t="str">
        <x:v>https://static.nhtsa.gov/odi/tsbs/2014/SB-10081074-0335.pdf</x:v>
      </x:c>
    </x:row>
    <x:row r="12" ht="110" customHeight="1">
      <x:c r="A12" s="73" t="n">
        <x:v>8</x:v>
      </x:c>
      <x:c r="B12" s="73" t="str">
        <x:v>buick-enclave-power-steering-recall</x:v>
      </x:c>
      <x:c r="C12" s="73" t="str">
        <x:v>2008-2011 | Buick | Enclave | CX, CXL, CXL-1, CXL-2 | all</x:v>
      </x:c>
      <x:c r="D12" s="73" t="str">
        <x:v>Enclave Power Steering Assist Loss — Special Coverage Adjustment 14329</x:v>
      </x:c>
      <x:c r="E12" s="73" t="str">
        <x:v>Confirm Special Coverage 14329 eligibility at any GM/Buick dealer with your VIN. If still within 10 years and 150,000 miles, remedy is free: dealer flushes power-steering system, replaces the PS pump, and installs a new steering-gear valve housing. If out of the coverage window, expect $700-$1,400 for the same job at an independent.</x:v>
      </x:c>
      <x:c r="F12" s="73" t="str">
        <x:v>VIN eligibility; dealer flush; pump; steering-gear valve housing as directed by Special Coverage 14329</x:v>
      </x:c>
      <x:c r="G12" s="73" t="str">
        <x:v>COVERAGE-FIRST / NO RETAIL CTA</x:v>
      </x:c>
      <x:c r="H12" s="73" t="str">
        <x:v>Buick recall/coverage lookup
NHTSA VIN recall lookup</x:v>
      </x:c>
      <x:c r="I12" s="73" t="str">
        <x:v>https://www.buick.com/ownercenter/recalls
https://www.nhtsa.gov/recalls</x:v>
      </x:c>
      <x:c r="J12" s="73" t="str">
        <x:v>2008-2011 Enclave; VIN required
VIN required; safety recalls only</x:v>
      </x:c>
      <x:c r="K12" s="73" t="str">
        <x:v>official coverage check
official recall lookup</x:v>
      </x:c>
      <x:c r="L12" s="73" t="str">
        <x:v>The How to Fix explicitly calls for VIN-based coverage and a multi-step dealer remedy. A generic pump link would omit the flush and valve-housing work.</x:v>
      </x:c>
      <x:c r="M12" s="73" t="str">
        <x:v>Use official coverage/dealer routing. Do not place a buy-parts CTA ahead of the VIN check.</x:v>
      </x:c>
      <x:c r="N12" s="79" t="str">
        <x:v>REVIEW ONLY — NOT DEPLOYED</x:v>
      </x:c>
      <x:c r="O12" s="73" t="str">
        <x:v>https://static.nhtsa.gov/odi/tsbs/2014/SB-10081074-0335.pdf</x:v>
      </x:c>
    </x:row>
    <x:row r="13" ht="110" customHeight="1">
      <x:c r="A13" s="73" t="n">
        <x:v>9</x:v>
      </x:c>
      <x:c r="B13" s="73" t="str">
        <x:v>buick-enclave-rear-c-evaporator-corrosion-refrigerant-leaks</x:v>
      </x:c>
      <x:c r="C13" s="73" t="str">
        <x:v>2013-2016 | Buick | Enclave</x:v>
      </x:c>
      <x:c r="D13" s="73" t="str">
        <x:v>Rear A/C Evaporator Corrosion &amp; Refrigerant Leaks</x:v>
      </x:c>
      <x:c r="E13" s="73" t="str">
        <x:v>Recover the refrigerant, replace the corroded rear evaporator (and rear blower motor if shedding debris) or the leaking line, then evacuate and recharge the system. Confirm leak source with dye/UV before recharging.</x:v>
      </x:c>
      <x:c r="F13" s="73" t="str">
        <x:v>Leak diagnosis with dye/UV; auxiliary evaporator or leaking line; rear blower if debris-damaged; refrigerant recover/evacuate/recharge</x:v>
      </x:c>
      <x:c r="G13" s="73" t="str">
        <x:v>DIAGNOSIS-GATED PARTIAL APPROVAL</x:v>
      </x:c>
      <x:c r="H13" s="73" t="str">
        <x:v>Genuine GM auxiliary A/C evaporator 84802280</x:v>
      </x:c>
      <x:c r="I13" s="73" t="str">
        <x:v>https://www.gmpartsgiant.com/parts/gm-evaporator-asm-aux-a-c-84802280.html</x:v>
      </x:c>
      <x:c r="J13" s="73" t="str">
        <x:v>2013-2016 issue scope; product lists 2008-2024 Enclave 3.6L</x:v>
      </x:c>
      <x:c r="K13" s="73" t="str">
        <x:v>only if auxiliary core leak is confirmed</x:v>
      </x:c>
      <x:c r="L13" s="73" t="str">
        <x:v>The TSB identifies auxiliary-evaporator corrosion, but the How to Fix also allows a line or blower failure. Refrigerant work requires proper recovery equipment.</x:v>
      </x:c>
      <x:c r="M13" s="73" t="str">
        <x:v>Require leak-source confirmation before showing the core as the repair. Do not reuse this link for a leaking line or blower failure.</x:v>
      </x:c>
      <x:c r="N13" s="79" t="str">
        <x:v>REVIEW ONLY — NOT DEPLOYED</x:v>
      </x:c>
      <x:c r="O13" s="73" t="str">
        <x:v>https://static.nhtsa.gov/odi/tsbs/2016/MC-10116900-9999.pdf</x:v>
      </x:c>
    </x:row>
    <x:row r="14" ht="110" customHeight="1">
      <x:c r="A14" s="73" t="n">
        <x:v>10</x:v>
      </x:c>
      <x:c r="B14" s="73" t="str">
        <x:v>buick-enclave-stretched-worn-timing-chain-3-6l-v6</x:v>
      </x:c>
      <x:c r="C14" s="73" t="str">
        <x:v>2008-2013 | Buick | Enclave</x:v>
      </x:c>
      <x:c r="D14" s="73" t="str">
        <x:v>Stretched/Worn Timing Chain on 3.6L V6</x:v>
      </x:c>
      <x:c r="E14" s="73" t="str">
        <x:v>Replace the timing chains, guides, and tensioners (a full front-of-engine job). If covered under GM Special Coverage #11340C the repair is free up to 10yr/120k mi; otherwise it is an out-of-pocket repair. Keeping oil changes current and using correct-spec oil slows wear.</x:v>
      </x:c>
      <x:c r="F14" s="73" t="str">
        <x:v>Complete timing chains, guides and tensioners; Special Coverage 11340C check; correct oil</x:v>
      </x:c>
      <x:c r="G14" s="73" t="str">
        <x:v>COVERAGE-FIRST + YEAR-SPLIT APPROVAL</x:v>
      </x:c>
      <x:c r="H14" s="73" t="str">
        <x:v>ACDelco timing-chain kit 12700436
Buick recall/coverage lookup</x:v>
      </x:c>
      <x:c r="I14" s="73" t="str">
        <x:v>https://www.partsgeek.com/vkz4by3-buick-enclave-timing-chain-kit.html
https://www.buick.com/ownercenter/recalls</x:v>
      </x:c>
      <x:c r="J14" s="73" t="str">
        <x:v>2009-2013 Enclave 3.6L LLT VIN D
VIN required</x:v>
      </x:c>
      <x:c r="K14" s="73" t="str">
        <x:v>complete kit for verified year/engine split
coverage check</x:v>
      </x:c>
      <x:c r="L14" s="73" t="str">
        <x:v>The ACDelco kit is verified for 2009-2013 LLT/VIN D. The 2008 LY7 application is different and remains held.</x:v>
      </x:c>
      <x:c r="M14" s="73" t="str">
        <x:v>Split 2008 LY7 from 2009-2013 LLT. Flag as overlapping/duplicative with buick-enclave-timing-chain-2008-2012.</x:v>
      </x:c>
      <x:c r="N14" s="79" t="str">
        <x:v>REVIEW ONLY — NOT DEPLOYED</x:v>
      </x:c>
      <x:c r="O14" s="73" t="str">
        <x:v>https://static.nhtsa.gov/odi/tsbs/2012/SB-10063069-7690.pdf
https://static.nhtsa.gov/odi/tsbs/2013/MC-10134650-9999.pdf</x:v>
      </x:c>
    </x:row>
    <x:row r="15" ht="110" customHeight="1">
      <x:c r="A15" s="73" t="n">
        <x:v>11</x:v>
      </x:c>
      <x:c r="B15" s="73" t="str">
        <x:v>buick-enclave-timing-chain-2008-2012</x:v>
      </x:c>
      <x:c r="C15" s="73" t="str">
        <x:v>2008-2012 | Buick | Enclave | CX, CXL, CXL-1, CXL-2, Premium | 3.6L LLT V6</x:v>
      </x:c>
      <x:c r="D15" s="73" t="str">
        <x:v>Enclave 3.6L LLT Timing Chain Stretch + Oil Consumption</x:v>
      </x:c>
      <x:c r="E15" s="73" t="str">
        <x:v>Timing chain replacement ($2,500-$4,500 with 3-row crossover labor premium). Walnut-blast intake valve carbon at the same time ($300-$500). PCV system update per TSB. Some owners refuse the chain job at this mileage and trade — failure can mean total engine replacement ($6,000+).</x:v>
      </x:c>
      <x:c r="F15" s="73" t="str">
        <x:v>Timing-chain repair; intake-valve walnut blast; PCV update; possible engine replacement</x:v>
      </x:c>
      <x:c r="G15" s="73" t="str">
        <x:v>CONTENT CORRECTION + PARTIAL APPROVAL</x:v>
      </x:c>
      <x:c r="H15" s="73" t="str">
        <x:v>ACDelco timing-chain kit 12700436</x:v>
      </x:c>
      <x:c r="I15" s="73" t="str">
        <x:v>https://www.partsgeek.com/vkz4by3-buick-enclave-timing-chain-kit.html</x:v>
      </x:c>
      <x:c r="J15" s="73" t="str">
        <x:v>2009-2012 Enclave 3.6L LLT VIN D</x:v>
      </x:c>
      <x:c r="K15" s="73" t="str">
        <x:v>timing repair only</x:v>
      </x:c>
      <x:c r="L15" s="73" t="str">
        <x:v>The product covers only the timing-chain portion. Walnut blasting and PCV updates are separate services, and 2008 is not an LLT application.</x:v>
      </x:c>
      <x:c r="M15" s="73" t="str">
        <x:v>Correct the 2008 engine designation (LY7, not LLT), hold its part link, and consolidate this duplicate with the broader timing-chain issue.</x:v>
      </x:c>
      <x:c r="N15" s="79" t="str">
        <x:v>REVIEW ONLY — NOT DEPLOYED</x:v>
      </x:c>
      <x:c r="O15" s="73" t="str">
        <x:v>https://static.nhtsa.gov/odi/tsbs/2013/MC-10134650-9999.pdf</x:v>
      </x:c>
    </x:row>
    <x:row r="16" ht="110" customHeight="1">
      <x:c r="A16" s="73" t="n">
        <x:v>12</x:v>
      </x:c>
      <x:c r="B16" s="73" t="str">
        <x:v>buick-enclave-torque-converter-clutch-shudder</x:v>
      </x:c>
      <x:c r="C16" s="73" t="str">
        <x:v>2014-2020 | Buick | Enclave</x:v>
      </x:c>
      <x:c r="D16" s="73" t="str">
        <x:v>Torque Converter Clutch (TCC) Shudder</x:v>
      </x:c>
      <x:c r="E16" s="73" t="str">
        <x:v>Per GM bulletin: flush and refill with the specified DEXRON-VI fluid (part 88862156) and reprogram the TCM with a fast-learn relearn. Persistent cases may require torque converter replacement.</x:v>
      </x:c>
      <x:c r="F16" s="73" t="str">
        <x:v>DEXRON-VI fluid exchange; TCM reprogram and fast-learn; possible torque converter</x:v>
      </x:c>
      <x:c r="G16" s="73" t="str">
        <x:v>FLUID APPROVAL + SERVICE GATE</x:v>
      </x:c>
      <x:c r="H16" s="73" t="str">
        <x:v>ACDelco GM OE DEXRON-VI full-synthetic ATF, 1 gallon, 88865618</x:v>
      </x:c>
      <x:c r="I16" s="73" t="str">
        <x:v>https://parts.buick.com/product/acdelco-gm-original-equipment-dexron-vi-full-synthetic-automatic-transmission-fluid-1-gal-88865618</x:v>
      </x:c>
      <x:c r="J16" s="73" t="str">
        <x:v>2014-2020 Enclave; confirm transmission and bulletin procedure</x:v>
      </x:c>
      <x:c r="K16" s="73" t="str">
        <x:v>specified fluid</x:v>
      </x:c>
      <x:c r="L16" s="73" t="str">
        <x:v>The fluid is verified for the full issue span. TCM programming/fast-learn and converter diagnosis are shop procedures, not replaced by the fluid link.</x:v>
      </x:c>
      <x:c r="M16" s="73" t="str">
        <x:v>Update obsolete/bulk part 88862156 to current retail GM package 88865618 while retaining the DEXRON-VI specification.</x:v>
      </x:c>
      <x:c r="N16" s="79" t="str">
        <x:v>REVIEW ONLY — NOT DEPLOYED</x:v>
      </x:c>
      <x:c r="O16" s="73" t="str">
        <x:v>https://static.nhtsa.gov/odi/tsbs/2018/MC-10187432-9999.pdf
https://static.nhtsa.gov/odi/tsbs/2021/MC-10201297-9999.pdf</x:v>
      </x:c>
    </x:row>
    <x:row r="17" ht="110" customHeight="1">
      <x:c r="A17" s="73" t="n">
        <x:v>13</x:v>
      </x:c>
      <x:c r="B17" s="73" t="str">
        <x:v>buick-enclave-water-pump-leak-coolant-loss-3-6l-v6</x:v>
      </x:c>
      <x:c r="C17" s="73" t="str">
        <x:v>2008-2017 | Buick | Enclave</x:v>
      </x:c>
      <x:c r="D17" s="73" t="str">
        <x:v>Water Pump Leak / Coolant Loss on 3.6L V6</x:v>
      </x:c>
      <x:c r="E17" s="73" t="str">
        <x:v>Replace the water pump (and thermostat/gasket as needed), then refill and bleed the cooling system. A relatively common, moderate-cost repair on these vehicles.</x:v>
      </x:c>
      <x:c r="F17" s="73" t="str">
        <x:v>Water pump and gasket; thermostat/gasket if diagnosed; coolant refill and bleed</x:v>
      </x:c>
      <x:c r="G17" s="73" t="str">
        <x:v>PART APPROVAL</x:v>
      </x:c>
      <x:c r="H17" s="73" t="str">
        <x:v>GM Genuine water-pump kit with gasket 12709178</x:v>
      </x:c>
      <x:c r="I17" s="73" t="str">
        <x:v>https://parts.buick.com/product/gm-genuine-parts-engine-water-pump-with-gasket-12709178</x:v>
      </x:c>
      <x:c r="J17" s="73" t="str">
        <x:v>2008-2017 Enclave issue scope; GM catalog includes these years</x:v>
      </x:c>
      <x:c r="K17" s="73" t="str">
        <x:v>primary repair part</x:v>
      </x:c>
      <x:c r="L17" s="73" t="str">
        <x:v>The GM product is an exact water-pump-with-gasket repair part for the issue span. Thermostat replacement remains conditional.</x:v>
      </x:c>
      <x:c r="M17" s="73" t="str">
        <x:v>Keep thermostat/gasket as 'as needed' and include the cooling-system bleed step; do not imply the pump covers every coolant leak.</x:v>
      </x:c>
      <x:c r="N17" s="79" t="str">
        <x:v>REVIEW ONLY — NOT DEPLOYED</x:v>
      </x:c>
      <x:c r="O17" s="73" t="str">
        <x:v>https://www.gmpartsgiant.com/oem-buick-enclave-water_pump.html</x:v>
      </x:c>
    </x:row>
    <x:row r="18" ht="110" customHeight="1">
      <x:c r="A18" s="73" t="n">
        <x:v>14</x:v>
      </x:c>
      <x:c r="B18" s="73" t="str">
        <x:v>buick-encore-1.4-turbo-timing-chain</x:v>
      </x:c>
      <x:c r="C18" s="73" t="str">
        <x:v>2013-2022 | Buick | Encore | Base, Convenience, Leather, Premium, Sport Touring, Preferred, Essence | 1.4L Turbo LUJ/LUV</x:v>
      </x:c>
      <x:c r="D18" s="73" t="str">
        <x:v>Encore 1.4L Turbo (LUJ/LUV) Timing Chain Stretch</x:v>
      </x:c>
      <x:c r="E18" s="73" t="str">
        <x:v>Full chain kit including chain, tensioner, guides, sprockets ($1,200-$2,000). Use dexos1 full-synthetic 5W-30 and stick to 5,000-mile intervals — extended OLM intervals are the dominant cause. Catastrophic chain skip means head rebuild ($3,500+).</x:v>
      </x:c>
      <x:c r="F18" s="73" t="str">
        <x:v>Timing chain, tensioner, guides and sprockets; dexos1 5W-30 maintenance</x:v>
      </x:c>
      <x:c r="G18" s="73" t="str">
        <x:v>YEAR-SPLIT PARTIAL APPROVAL</x:v>
      </x:c>
      <x:c r="H18" s="73" t="str">
        <x:v>Cloyes 9-4311S timing-chain kit</x:v>
      </x:c>
      <x:c r="I18" s="73" t="str">
        <x:v>https://frsport.com/products/cloyes-kit-timing-w-sprockets-9-4311s</x:v>
      </x:c>
      <x:c r="J18" s="73" t="str">
        <x:v>2013-2021 Encore 1.4L; verify VIN/engine</x:v>
      </x:c>
      <x:c r="K18" s="73" t="str">
        <x:v>timing kit</x:v>
      </x:c>
      <x:c r="L18" s="73" t="str">
        <x:v>The kit has verified 2013-2021 1.4L fitment; the issue's 2022 model year remains unverified for this exact product.</x:v>
      </x:c>
      <x:c r="M18" s="73" t="str">
        <x:v>Hold 2022 rather than stretching the product fitment. Confirm kit contents before claiming every sprocket/guide is included.</x:v>
      </x:c>
      <x:c r="N18" s="79" t="str">
        <x:v>REVIEW ONLY — NOT DEPLOYED</x:v>
      </x:c>
      <x:c r="O18" s="73" t="str">
        <x:v>https://www.oreillyauto.com/shop/b/engines---transmissions/timing-parts/timing-set/timing-chain-kit/9438d0f2adb0/v/a/127968/automotive-truck-2013-buick-encore
https://cobaltindustrial.ca/products/cloyes-gear-product-9-4311s-timing-chain-kit-engine-timing-chain-kit</x:v>
      </x:c>
    </x:row>
    <x:row r="19" ht="110" customHeight="1">
      <x:c r="A19" s="74" t="n">
        <x:v>15</x:v>
      </x:c>
      <x:c r="B19" s="74" t="str">
        <x:v>buick-encore-6t40-automatic-transmission-hard-shifting-shudder-slipping</x:v>
      </x:c>
      <x:c r="C19" s="74" t="str">
        <x:v>2013-2018 | Buick | Encore</x:v>
      </x:c>
      <x:c r="D19" s="74" t="str">
        <x:v>6T40 Automatic Transmission Hard Shifting, Shudder and Slipping</x:v>
      </x:c>
      <x:c r="E19" s="74" t="str">
        <x:v>Service the transmission with the correct fluid; for shudder, a torque-converter clutch fluid/flush or solenoid replacement may help. Persistent 2-6 slip/flare typically requires valve body/channel-plate cleaning or rebuild. Confirm GM software calibration is current, as updated shift logic addressed some complaints.</x:v>
      </x:c>
      <x:c r="F19" s="74" t="str">
        <x:v>Correct DEXRON-VI fluid service; possible TCC/solenoid; valve body/channel plate; rebuild; software calibration</x:v>
      </x:c>
      <x:c r="G19" s="74" t="str">
        <x:v>FLUID APPROVAL + DIAGNOSIS-FIRST HOLD</x:v>
      </x:c>
      <x:c r="H19" s="74" t="str">
        <x:v>ACDelco GM OE DEXRON-VI ATF, 1 quart, 88865601</x:v>
      </x:c>
      <x:c r="I19" s="74" t="str">
        <x:v>https://parts.buick.com/product/acdelco-gm-original-equipment-dexron-vi-automatic-transmission-fluid-1-qt-88865601</x:v>
      </x:c>
      <x:c r="J19" s="74" t="str">
        <x:v>2013-2018 Encore issue scope; official catalog lists 2013-2022</x:v>
      </x:c>
      <x:c r="K19" s="74" t="str">
        <x:v>fluid service only</x:v>
      </x:c>
      <x:c r="L19" s="74" t="str">
        <x:v>DEXRON-VI is verified, but the remaining fixes depend on whether the fault is converter, solenoid/TEHCM, valve body, calibration, or internal damage.</x:v>
      </x:c>
      <x:c r="M19" s="74" t="str">
        <x:v>Do not link a solenoid, TEHCM, scanner, or rebuild kit until diagnosis identifies that repair. The fluid link is not a promise that service cures slipping.</x:v>
      </x:c>
      <x:c r="N19" s="80" t="str">
        <x:v>REVIEW ONLY — NOT DEPLOYED</x:v>
      </x:c>
      <x:c r="O19" s="74" t="str">
        <x:v>https://static.nhtsa.gov/odi/tsbs/2013/MC-10139032-9999.pdf
https://static.nhtsa.gov/odi/tsbs/2016/MC-10112296-9999.pdf</x:v>
      </x:c>
    </x:row>
  </x:sheetData>
  <x:mergeCells>
    <x:mergeCell ref="A1:O1"/>
    <x:mergeCell ref="A2:O2"/>
  </x:mergeCells>
  <x:conditionalFormatting sqref="G5:G19">
    <x:cfRule type="containsText" dxfId="0" priority="1" operator="containsText" text="HOLD"/>
    <x:cfRule type="containsText" dxfId="1" priority="2" operator="containsText" text="APPROVAL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8" hidden="0" customWidth="1"/>
    <x:col min="3" max="3" width="4" hidden="0" customWidth="1"/>
    <x:col min="4" max="4" width="4" hidden="0" customWidth="1"/>
    <x:col min="5" max="5" width="4" hidden="0" customWidth="1"/>
    <x:col min="6" max="6" width="4" hidden="0" customWidth="1"/>
  </x:cols>
  <x:sheetData>
    <x:row r="1">
      <x:c r="A1" s="99" t="str">
        <x:v>Repeatable Link-Finding Method</x:v>
      </x:c>
      <x:c r="B1" s="99"/>
      <x:c r="C1" s="99"/>
      <x:c r="D1" s="99"/>
      <x:c r="E1" s="99"/>
      <x:c r="F1" s="99"/>
    </x:row>
    <x:row r="2">
      <x:c r="A2" s="39"/>
      <x:c r="B2" s="39"/>
      <x:c r="C2" s="39"/>
      <x:c r="D2" s="39"/>
      <x:c r="E2" s="39"/>
      <x:c r="F2" s="39"/>
    </x:row>
    <x:row r="3">
      <x:c r="A3" s="100" t="str">
        <x:v>Step</x:v>
      </x:c>
      <x:c r="B3" s="100" t="str">
        <x:v>Required action</x:v>
      </x:c>
      <x:c r="C3" s="39"/>
      <x:c r="D3" s="39"/>
      <x:c r="E3" s="39"/>
      <x:c r="F3" s="39"/>
    </x:row>
    <x:row r="4" ht="34" customHeight="1">
      <x:c r="A4" s="101" t="n">
        <x:v>1</x:v>
      </x:c>
      <x:c r="B4" s="101" t="str">
        <x:v>Read the full How to Fix before considering any link.</x:v>
      </x:c>
      <x:c r="C4" s="39"/>
      <x:c r="D4" s="39"/>
      <x:c r="E4" s="39"/>
      <x:c r="F4" s="39"/>
    </x:row>
    <x:row r="5" ht="34" customHeight="1">
      <x:c r="A5" s="101" t="n">
        <x:v>2</x:v>
      </x:c>
      <x:c r="B5" s="101" t="str">
        <x:v>Extract every exact part, fluid, tool, service, and conditional branch.</x:v>
      </x:c>
      <x:c r="C5" s="39"/>
      <x:c r="D5" s="39"/>
      <x:c r="E5" s="39"/>
      <x:c r="F5" s="39"/>
    </x:row>
    <x:row r="6" ht="34" customHeight="1">
      <x:c r="A6" s="101" t="n">
        <x:v>3</x:v>
      </x:c>
      <x:c r="B6" s="101" t="str">
        <x:v>Search the YMMT plus the exact repair item plus US.</x:v>
      </x:c>
      <x:c r="C6" s="39"/>
      <x:c r="D6" s="39"/>
      <x:c r="E6" s="39"/>
      <x:c r="F6" s="39"/>
    </x:row>
    <x:row r="7" ht="34" customHeight="1">
      <x:c r="A7" s="101" t="n">
        <x:v>4</x:v>
      </x:c>
      <x:c r="B7" s="101" t="str">
        <x:v>Open the actual product or official service page; search-result pages are evidence, not the destination.</x:v>
      </x:c>
      <x:c r="C7" s="39"/>
      <x:c r="D7" s="39"/>
      <x:c r="E7" s="39"/>
      <x:c r="F7" s="39"/>
    </x:row>
    <x:row r="8" ht="34" customHeight="1">
      <x:c r="A8" s="101" t="n">
        <x:v>5</x:v>
      </x:c>
      <x:c r="B8" s="101" t="str">
        <x:v>Verify year, model, engine, trim, transmission, position, drivetrain, and kit contents.</x:v>
      </x:c>
      <x:c r="C8" s="39"/>
      <x:c r="D8" s="39"/>
      <x:c r="E8" s="39"/>
      <x:c r="F8" s="39"/>
    </x:row>
    <x:row r="9" ht="34" customHeight="1">
      <x:c r="A9" s="101" t="n">
        <x:v>6</x:v>
      </x:c>
      <x:c r="B9" s="101" t="str">
        <x:v>Save the URL with its exact scope, role, limitation, and evidence.</x:v>
      </x:c>
      <x:c r="C9" s="39"/>
      <x:c r="D9" s="39"/>
      <x:c r="E9" s="39"/>
      <x:c r="F9" s="39"/>
    </x:row>
    <x:row r="10" ht="34" customHeight="1">
      <x:c r="A10" s="102" t="n">
        <x:v>7</x:v>
      </x:c>
      <x:c r="B10" s="102" t="str">
        <x:v>Split or hold any unsupported year/engine/position instead of stretching fitment.</x:v>
      </x:c>
      <x:c r="C10" s="39"/>
      <x:c r="D10" s="39"/>
      <x:c r="E10" s="39"/>
      <x:c r="F10" s="39"/>
    </x:row>
    <x:row r="11">
      <x:c r="A11" s="39"/>
      <x:c r="B11" s="39"/>
      <x:c r="C11" s="39"/>
      <x:c r="D11" s="39"/>
      <x:c r="E11" s="39"/>
      <x:c r="F11" s="39"/>
    </x:row>
    <x:row r="12">
      <x:c r="A12" s="41" t="str">
        <x:v>Hard gates</x:v>
      </x:c>
      <x:c r="B12" s="41"/>
      <x:c r="C12" s="41"/>
      <x:c r="D12" s="41"/>
      <x:c r="E12" s="41"/>
      <x:c r="F12" s="41"/>
    </x:row>
    <x:row r="13" ht="44" customHeight="1">
      <x:c r="A13" s="103" t="str">
        <x:v>No scanner inference</x:v>
      </x:c>
      <x:c r="B13" s="103" t="str">
        <x:v>A DTC does not create an OBD-scanner commerce link unless the How to Fix actually requires that tool.</x:v>
      </x:c>
      <x:c r="C13" s="103"/>
      <x:c r="D13" s="103"/>
      <x:c r="E13" s="103"/>
      <x:c r="F13" s="103"/>
    </x:row>
    <x:row r="14" ht="44" customHeight="1">
      <x:c r="A14" s="104" t="str">
        <x:v>Recall/coverage first</x:v>
      </x:c>
      <x:c r="B14" s="104" t="str">
        <x:v>Official VIN or dealer routing comes before retail whenever the remedy may be covered.</x:v>
      </x:c>
      <x:c r="C14" s="104"/>
      <x:c r="D14" s="104"/>
      <x:c r="E14" s="104"/>
      <x:c r="F14" s="104"/>
    </x:row>
    <x:row r="15" ht="44" customHeight="1">
      <x:c r="A15" s="104" t="str">
        <x:v>Diagnosis first</x:v>
      </x:c>
      <x:c r="B15" s="104" t="str">
        <x:v>Do not pick among mutually exclusive parts until the failed component or position is identified.</x:v>
      </x:c>
      <x:c r="C15" s="104"/>
      <x:c r="D15" s="104"/>
      <x:c r="E15" s="104"/>
      <x:c r="F15" s="104"/>
    </x:row>
    <x:row r="16" ht="44" customHeight="1">
      <x:c r="A16" s="104" t="str">
        <x:v>Complete-kit honesty</x:v>
      </x:c>
      <x:c r="B16" s="104" t="str">
        <x:v>A chain, guide, tensioner, wave plate, or fluid is not a complete repair unless the page and instructions support that claim.</x:v>
      </x:c>
      <x:c r="C16" s="104"/>
      <x:c r="D16" s="104"/>
      <x:c r="E16" s="104"/>
      <x:c r="F16" s="104"/>
    </x:row>
    <x:row r="17" ht="44" customHeight="1">
      <x:c r="A17" s="104" t="str">
        <x:v>Live product page</x:v>
      </x:c>
      <x:c r="B17" s="104" t="str">
        <x:v>Use a direct, current product/service page with readable title and fitment evidence.</x:v>
      </x:c>
      <x:c r="C17" s="104"/>
      <x:c r="D17" s="104"/>
      <x:c r="E17" s="104"/>
      <x:c r="F17" s="104"/>
    </x:row>
    <x:row r="18" ht="44" customHeight="1">
      <x:c r="A18" s="105" t="str">
        <x:v>Review before deploy</x:v>
      </x:c>
      <x:c r="B18" s="105" t="str">
        <x:v>This Buick workbook is review-only. Nothing here is authorized for production until the user approves it.</x:v>
      </x:c>
      <x:c r="C18" s="105"/>
      <x:c r="D18" s="105"/>
      <x:c r="E18" s="105"/>
      <x:c r="F18" s="105"/>
    </x:row>
  </x:sheetData>
  <x:mergeCells>
    <x:mergeCell ref="A1:F1"/>
    <x:mergeCell ref="A12:F12"/>
    <x:mergeCell ref="B13:F13"/>
    <x:mergeCell ref="B14:F14"/>
    <x:mergeCell ref="B15:F15"/>
    <x:mergeCell ref="B16:F16"/>
    <x:mergeCell ref="B17:F17"/>
    <x:mergeCell ref="B18:F18"/>
  </x:mergeCells>
  <x:pageMargins left="0.7" right="0.7" top="0.75" bottom="0.75" header="0.3" footer="0.3"/>
</x:worksheet>
</file>